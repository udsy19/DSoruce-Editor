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drawings/drawing2.xml" ContentType="application/vnd.openxmlformats-officedocument.drawing+xml"/>
  <Override PartName="/xl/media/image2.jpeg" ContentType="image/jpe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" sheetId="1" r:id="rId4"/>
    <sheet name="Furniture Inventory" sheetId="2" r:id="rId5"/>
    <sheet name="Furniture Inventory Summary" sheetId="3" r:id="rId6"/>
    <sheet name="Inventory" sheetId="4" r:id="rId7"/>
    <sheet name="General" sheetId="5" r:id="rId8"/>
    <sheet name="Main Summary" sheetId="6" r:id="rId9"/>
    <sheet name="BOM - Floors" sheetId="7" r:id="rId10"/>
    <sheet name="BOM - Ceilings" sheetId="8" r:id="rId11"/>
    <sheet name="BOM - Glass Partitions" sheetId="9" r:id="rId12"/>
    <sheet name="BOM - Doors" sheetId="10" r:id="rId13"/>
    <sheet name="BOM - Walls" sheetId="11" r:id="rId14"/>
    <sheet name="dropdowns" sheetId="12" r:id="rId15"/>
  </sheets>
</workbook>
</file>

<file path=xl/sharedStrings.xml><?xml version="1.0" encoding="utf-8"?>
<sst xmlns="http://schemas.openxmlformats.org/spreadsheetml/2006/main" uniqueCount="174">
  <si>
    <t>Wall type</t>
  </si>
  <si>
    <t>Drywall</t>
  </si>
  <si>
    <t>Half Drywall</t>
  </si>
  <si>
    <t>Glass</t>
  </si>
  <si>
    <t>Core</t>
  </si>
  <si>
    <t>Perimeter windows</t>
  </si>
  <si>
    <t>Perimeter wall</t>
  </si>
  <si>
    <t>Door_length</t>
  </si>
  <si>
    <t>Cost Code</t>
  </si>
  <si>
    <t>Floor</t>
  </si>
  <si>
    <t>Room ID</t>
  </si>
  <si>
    <t>Room Type</t>
  </si>
  <si>
    <t>Item Description</t>
  </si>
  <si>
    <t>Supplier</t>
  </si>
  <si>
    <t>Quantity</t>
  </si>
  <si>
    <t>Unit Price</t>
  </si>
  <si>
    <t>Total Price</t>
  </si>
  <si>
    <t>Can be customized</t>
  </si>
  <si>
    <t>Office - Receiving Guests</t>
  </si>
  <si>
    <t>Desk Table W70 X L140</t>
  </si>
  <si>
    <t>Executive  Chairs W58 X L60</t>
  </si>
  <si>
    <t>Conference</t>
  </si>
  <si>
    <t>Conference Table W120 X L360</t>
  </si>
  <si>
    <t>Conference Chairs W58 X L55</t>
  </si>
  <si>
    <t>Workstation Table W70 X L160</t>
  </si>
  <si>
    <t>Kitchen</t>
  </si>
  <si>
    <t>Counter Kitchen W63 X L480</t>
  </si>
  <si>
    <t>Refrigerators Kitchen W66 X L90</t>
  </si>
  <si>
    <t>Bar Table W70 X L300</t>
  </si>
  <si>
    <t>Bar Chairs W60 X L50</t>
  </si>
  <si>
    <t>Executive Office</t>
  </si>
  <si>
    <t>Side (Guest) Chairs W58 X L58</t>
  </si>
  <si>
    <t>Desk Table W80 X L200</t>
  </si>
  <si>
    <t>Sofa Lounge W75 X L85</t>
  </si>
  <si>
    <t>Plants Vegetation W64 X L70</t>
  </si>
  <si>
    <t xml:space="preserve">Vicarrbe Season S Sofa
table
</t>
  </si>
  <si>
    <t>Conference Table W160 X L360</t>
  </si>
  <si>
    <t>Side (Guest) Chairs W50 X L60</t>
  </si>
  <si>
    <t>Kitchen Chairs W50 X L40</t>
  </si>
  <si>
    <t>Coffee Table Table W40 X L40</t>
  </si>
  <si>
    <t>Other</t>
  </si>
  <si>
    <t>Bed Lounge W140 X L90</t>
  </si>
  <si>
    <t>Coffee Table Table W80 X L80</t>
  </si>
  <si>
    <t>Open Space WorkStation</t>
  </si>
  <si>
    <t>Portico W 1400 x D 700 mm</t>
  </si>
  <si>
    <t>Reception</t>
  </si>
  <si>
    <t>Worker Chairs W58 X L48</t>
  </si>
  <si>
    <t>Reception Table W160 X L220</t>
  </si>
  <si>
    <t>Sofa Lounge W90 X L100</t>
  </si>
  <si>
    <t>Low Storage Storage W45 X L100</t>
  </si>
  <si>
    <t>Plants Vegetation W50 X L51</t>
  </si>
  <si>
    <t>Low Storage Storage W30 X L100</t>
  </si>
  <si>
    <t>Comfort Zone</t>
  </si>
  <si>
    <t>Workstation Table W62 X L210</t>
  </si>
  <si>
    <t>Conference Chairs W48 X L50</t>
  </si>
  <si>
    <t>Booth Phonebooths W100 X L105</t>
  </si>
  <si>
    <t>Print Hub</t>
  </si>
  <si>
    <t>printer Printhub W61 X L100</t>
  </si>
  <si>
    <t>Coffee Table Table W55 X L120</t>
  </si>
  <si>
    <t>Sofa Lounge W90 X L270</t>
  </si>
  <si>
    <t xml:space="preserve">Room Image </t>
  </si>
  <si>
    <t>Department</t>
  </si>
  <si>
    <t>Space Type</t>
  </si>
  <si>
    <t>Subcategory</t>
  </si>
  <si>
    <t>Program Room Name</t>
  </si>
  <si>
    <t>Headcount</t>
  </si>
  <si>
    <t>Area (m2)</t>
  </si>
  <si>
    <t>Area (sqf)</t>
  </si>
  <si>
    <t>Floor Material</t>
  </si>
  <si>
    <t>Ceiling Material</t>
  </si>
  <si>
    <t>Furniture Elements</t>
  </si>
  <si>
    <t>GENERAL</t>
  </si>
  <si>
    <t>manager</t>
  </si>
  <si>
    <t>office_m</t>
  </si>
  <si>
    <t>Carpet Light Gray</t>
  </si>
  <si>
    <t>Desk Table W70 X L140: 1, Executive  Chairs W58 X L60: 1</t>
  </si>
  <si>
    <t>IT Room</t>
  </si>
  <si>
    <t>itroom</t>
  </si>
  <si>
    <t>IT</t>
  </si>
  <si>
    <t>conference</t>
  </si>
  <si>
    <t>conference_l</t>
  </si>
  <si>
    <t>Conference Table W120 X L360: 1, Conference Chairs W58 X L55: 10</t>
  </si>
  <si>
    <t>storage</t>
  </si>
  <si>
    <t>Mail Room</t>
  </si>
  <si>
    <t>focus</t>
  </si>
  <si>
    <t>focus room</t>
  </si>
  <si>
    <t>Workstation Table W70 X L160: 1</t>
  </si>
  <si>
    <t>employeelounge</t>
  </si>
  <si>
    <t>lounge_d700</t>
  </si>
  <si>
    <t>Parquet Herringbone - dark</t>
  </si>
  <si>
    <t>Black exposed</t>
  </si>
  <si>
    <t>Counter Kitchen W63 X L480: 1, Sinks Kitchen W49 X L52: 1, Refrigerators Kitchen W66 X L90: 1, Bar Table W70 X L300: 1, Bar Chairs W60 X L50: 4</t>
  </si>
  <si>
    <t>executive</t>
  </si>
  <si>
    <t>office_xl</t>
  </si>
  <si>
    <t>Side (Guest) Chairs W58 X L58: 2, Executive  Chairs W58 X L60: 1, Desk Table W80 X L200: 1, Sofa Lounge W75 X L85: 2, Plants Vegetation W64 X L70: 1, Coffee Table Table W60 X L60: 1</t>
  </si>
  <si>
    <t>conference_m</t>
  </si>
  <si>
    <t>Conference Table W160 X L360: 1, Conference Chairs W58 X L55: 12</t>
  </si>
  <si>
    <t>Side (Guest) Chairs W50 X L60: 2, Kitchen Chairs W50 X L40: 16, Coffee Table Table W40 X L40: 1</t>
  </si>
  <si>
    <t>wellnessroom</t>
  </si>
  <si>
    <t>Wellness_room</t>
  </si>
  <si>
    <t>Bed Lounge W140 X L90: 1, Coffee Table Table W40 X L40: 1</t>
  </si>
  <si>
    <t>Coffee Table Table W80 X L80: 1, Side (Guest) Chairs W50 X L60: 3</t>
  </si>
  <si>
    <t>benching140x70</t>
  </si>
  <si>
    <t>Workstation Table W70 X L140: 10, Side (Guest) Chairs W50 X L60: 2, Coffee Table Table W40 X L40: 1</t>
  </si>
  <si>
    <t>Storage Room</t>
  </si>
  <si>
    <t>Side (Guest) Chairs W58 X L58: 2, Executive  Chairs W58 X L60: 1, Desk Table W80 X L200: 1, Sofa Lounge W75 X L85: 2, Plants Vegetation W64 X L70: 2, Coffee Table Table W60 X L60: 1</t>
  </si>
  <si>
    <t>reception</t>
  </si>
  <si>
    <t>reception_2p</t>
  </si>
  <si>
    <t>Worker Chairs W58 X L48: 2, Reception Table W160 X L220: 1, Sofa Lounge W90 X L100: 3, Low Storage Storage W45 X L100: 3, Plants Vegetation W50 X L51: 2, Coffee Table Table W40 X L40: 1</t>
  </si>
  <si>
    <t>Workstation Table W70 X L140: 8, Low Storage Storage W30 X L100: 3</t>
  </si>
  <si>
    <t>Workstation Table W70 X L140: 8</t>
  </si>
  <si>
    <t>Workstation Table W70 X L140: 20, Sofa Lounge W75 X L85: 2, Low Storage Storage W30 X L100: 2, Plants Vegetation W50 X L51: 1, Coffee Table Table W40 X L40: 1</t>
  </si>
  <si>
    <t>opencollaboration</t>
  </si>
  <si>
    <t>Opencollaboration</t>
  </si>
  <si>
    <t>Bar Table W70 X L300: 1, Workstation Table W62 X L210: 6, Plants Vegetation W64 X L70: 1, Conference Chairs W48 X L50: 6, Bar Chairs W60 X L50: 4</t>
  </si>
  <si>
    <t>Booth Phonebooths W100 X L105: 2</t>
  </si>
  <si>
    <t>printhub</t>
  </si>
  <si>
    <t>print_hub</t>
  </si>
  <si>
    <t>printer Printhub W61 X L100: 1</t>
  </si>
  <si>
    <t>Sofa Lounge W90 X L100: 2, Coffee Table Table W55 X L120: 1</t>
  </si>
  <si>
    <t>Sofa Lounge W90 X L270: 1, Sofa Lounge W90 X L100: 2, Coffee Table Table W55 X L120: 1, Coffee Table Table W40 X L40: 2</t>
  </si>
  <si>
    <t>Workstation Table W70 X L140: 20, Sofa Lounge W75 X L85: 4, Low Storage Storage W30 X L100: 3, Side (Guest) Chairs W50 X L60: 4, Plants Vegetation W50 X L51: 4, Coffee Table Table W40 X L40: 4</t>
  </si>
  <si>
    <t>NaN</t>
  </si>
  <si>
    <t>Circulation</t>
  </si>
  <si>
    <t>Floor Height</t>
  </si>
  <si>
    <t>Unit Type</t>
  </si>
  <si>
    <t>Ceiling Height</t>
  </si>
  <si>
    <t>Door Height</t>
  </si>
  <si>
    <t>Glass Partition Height</t>
  </si>
  <si>
    <t>Glass Plaster Wall Height</t>
  </si>
  <si>
    <t>m</t>
  </si>
  <si>
    <t>Floors</t>
  </si>
  <si>
    <t>Ceilings</t>
  </si>
  <si>
    <t>Walls</t>
  </si>
  <si>
    <t>Glass Partitions</t>
  </si>
  <si>
    <t>Doors</t>
  </si>
  <si>
    <t>Material Name</t>
  </si>
  <si>
    <t>Material ID</t>
  </si>
  <si>
    <t>Length (m)</t>
  </si>
  <si>
    <t>Type Name</t>
  </si>
  <si>
    <t>Type ID</t>
  </si>
  <si>
    <t>Amount</t>
  </si>
  <si>
    <t>m^2</t>
  </si>
  <si>
    <t>Number</t>
  </si>
  <si>
    <t>Solid</t>
  </si>
  <si>
    <t>Columns</t>
  </si>
  <si>
    <t>Material Category</t>
  </si>
  <si>
    <t>Quantity Amount (m^2/m/number)</t>
  </si>
  <si>
    <t>Quantity Amount</t>
  </si>
  <si>
    <t>Total cost</t>
  </si>
  <si>
    <r>
      <rPr>
        <sz val="10"/>
        <color indexed="9"/>
        <rFont val="Calibri"/>
      </rPr>
      <t>Floors</t>
    </r>
  </si>
  <si>
    <r>
      <rPr>
        <sz val="10"/>
        <color indexed="9"/>
        <rFont val="Calibri"/>
      </rPr>
      <t>Ceilings</t>
    </r>
  </si>
  <si>
    <r>
      <rPr>
        <sz val="10"/>
        <color indexed="9"/>
        <rFont val="Calibri"/>
      </rPr>
      <t>Walls</t>
    </r>
  </si>
  <si>
    <r>
      <rPr>
        <sz val="10"/>
        <color indexed="8"/>
        <rFont val="Calibri"/>
      </rPr>
      <t>m</t>
    </r>
  </si>
  <si>
    <r>
      <rPr>
        <sz val="10"/>
        <color indexed="9"/>
        <rFont val="Calibri"/>
      </rPr>
      <t>Glass Partitions</t>
    </r>
  </si>
  <si>
    <r>
      <rPr>
        <sz val="10"/>
        <color indexed="9"/>
        <rFont val="Calibri"/>
      </rPr>
      <t>Doors</t>
    </r>
  </si>
  <si>
    <r>
      <rPr>
        <sz val="10"/>
        <color indexed="8"/>
        <rFont val="Calibri"/>
      </rPr>
      <t>Number</t>
    </r>
  </si>
  <si>
    <t>Quantity Amount (m^2)</t>
  </si>
  <si>
    <t>Length Unit Type</t>
  </si>
  <si>
    <t>Area Unit Type</t>
  </si>
  <si>
    <t>Volume Unit Type</t>
  </si>
  <si>
    <t>General Unit Type</t>
  </si>
  <si>
    <t>units</t>
  </si>
  <si>
    <t>cm</t>
  </si>
  <si>
    <t>cm^2</t>
  </si>
  <si>
    <t>cm^3</t>
  </si>
  <si>
    <t>m^3</t>
  </si>
  <si>
    <t>f</t>
  </si>
  <si>
    <t>f^2</t>
  </si>
  <si>
    <t>f^3</t>
  </si>
  <si>
    <t>feet</t>
  </si>
  <si>
    <t>inch</t>
  </si>
  <si>
    <t>inch^2</t>
  </si>
  <si>
    <t>inch^3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</si>
</sst>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Calibri"/>
    </font>
    <font>
      <sz val="10"/>
      <color indexed="8"/>
      <name val="Calibri"/>
    </font>
    <font>
      <sz val="11"/>
      <color indexed="8"/>
      <name val="Inter Regular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>
        <color indexed="8"/>
      </right>
      <top style="thin">
        <color indexed="9"/>
      </top>
      <bottom style="thin">
        <color indexed="9"/>
      </bottom>
      <diagonal/>
    </border>
    <border>
      <left>
        <color indexed="8"/>
      </left>
      <right>
        <color indexed="8"/>
      </right>
      <top style="thin">
        <color indexed="9"/>
      </top>
      <bottom style="thin">
        <color indexed="9"/>
      </bottom>
      <diagonal/>
    </border>
    <border>
      <left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  <xf numFmtId="0" fontId="0" fillId="7" borderId="4" applyNumberFormat="0" applyFont="1" applyFill="1" applyBorder="1" applyAlignment="1" applyProtection="0">
      <alignment vertical="bottom"/>
    </xf>
    <xf numFmtId="0" fontId="0" fillId="8" borderId="4" applyNumberFormat="0" applyFont="1" applyFill="1" applyBorder="1" applyAlignment="1" applyProtection="0">
      <alignment vertical="bottom"/>
    </xf>
    <xf numFmtId="0" fontId="0" fillId="9" borderId="4" applyNumberFormat="0" applyFont="1" applyFill="1" applyBorder="1" applyAlignment="1" applyProtection="0">
      <alignment vertical="bottom"/>
    </xf>
    <xf numFmtId="0" fontId="0" fillId="10" borderId="4" applyNumberFormat="0" applyFont="1" applyFill="1" applyBorder="1" applyAlignment="1" applyProtection="0">
      <alignment vertical="bottom"/>
    </xf>
    <xf numFmtId="0" fontId="0" fillId="11" borderId="4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" fontId="0" fillId="2" borderId="1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bottom"/>
    </xf>
    <xf numFmtId="49" fontId="4" fillId="12" borderId="4" applyNumberFormat="1" applyFont="1" applyFill="1" applyBorder="1" applyAlignment="1" applyProtection="0">
      <alignment horizontal="left" vertical="bottom"/>
    </xf>
    <xf numFmtId="0" fontId="4" fillId="12" borderId="4" applyNumberFormat="1" applyFont="1" applyFill="1" applyBorder="1" applyAlignment="1" applyProtection="0">
      <alignment horizontal="left" vertical="bottom"/>
    </xf>
    <xf numFmtId="0" fontId="4" fillId="12" borderId="4" applyNumberFormat="0" applyFont="1" applyFill="1" applyBorder="1" applyAlignment="1" applyProtection="0">
      <alignment horizontal="left" vertical="bottom"/>
    </xf>
    <xf numFmtId="49" fontId="4" fillId="12" borderId="4" applyNumberFormat="1" applyFont="1" applyFill="1" applyBorder="1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12" borderId="4" applyNumberFormat="0" applyFont="1" applyFill="1" applyBorder="1" applyAlignment="1" applyProtection="0">
      <alignment horizontal="center" vertical="center"/>
    </xf>
    <xf numFmtId="0" fontId="4" fillId="12" borderId="4" applyNumberFormat="1" applyFont="1" applyFill="1" applyBorder="1" applyAlignment="1" applyProtection="0">
      <alignment horizontal="center" vertical="center" wrapText="1"/>
    </xf>
    <xf numFmtId="49" fontId="4" fillId="12" borderId="4" applyNumberFormat="1" applyFont="1" applyFill="1" applyBorder="1" applyAlignment="1" applyProtection="0">
      <alignment horizontal="center" vertical="center" wrapText="1"/>
    </xf>
    <xf numFmtId="2" fontId="4" fillId="12" borderId="4" applyNumberFormat="1" applyFont="1" applyFill="1" applyBorder="1" applyAlignment="1" applyProtection="0">
      <alignment horizontal="center" vertical="center" wrapText="1"/>
    </xf>
    <xf numFmtId="0" fontId="4" fillId="12" borderId="4" applyNumberFormat="0" applyFont="1" applyFill="1" applyBorder="1" applyAlignment="1" applyProtection="0">
      <alignment horizontal="center" vertical="center" wrapText="1"/>
    </xf>
    <xf numFmtId="0" fontId="4" fillId="12" borderId="7" applyNumberFormat="0" applyFont="1" applyFill="1" applyBorder="1" applyAlignment="1" applyProtection="0">
      <alignment horizontal="center" vertical="center"/>
    </xf>
    <xf numFmtId="0" fontId="4" fillId="12" borderId="7" applyNumberFormat="1" applyFont="1" applyFill="1" applyBorder="1" applyAlignment="1" applyProtection="0">
      <alignment horizontal="center" vertical="center" wrapText="1"/>
    </xf>
    <xf numFmtId="49" fontId="4" fillId="12" borderId="7" applyNumberFormat="1" applyFont="1" applyFill="1" applyBorder="1" applyAlignment="1" applyProtection="0">
      <alignment horizontal="center" vertical="center" wrapText="1"/>
    </xf>
    <xf numFmtId="2" fontId="4" fillId="12" borderId="7" applyNumberFormat="1" applyFont="1" applyFill="1" applyBorder="1" applyAlignment="1" applyProtection="0">
      <alignment horizontal="center" vertical="center" wrapText="1"/>
    </xf>
    <xf numFmtId="49" fontId="0" fillId="2" borderId="5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center" vertical="center" wrapText="1"/>
    </xf>
    <xf numFmtId="2" fontId="4" fillId="2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 wrapText="1"/>
    </xf>
    <xf numFmtId="49" fontId="3" fillId="3" borderId="4" applyNumberFormat="1" applyFont="1" applyFill="1" applyBorder="1" applyAlignment="1" applyProtection="0">
      <alignment horizontal="center" vertical="top" wrapText="1"/>
    </xf>
    <xf numFmtId="0" fontId="0" fillId="2" borderId="3" applyNumberFormat="0" applyFont="1" applyFill="1" applyBorder="1" applyAlignment="1" applyProtection="0">
      <alignment vertical="bottom" wrapText="1"/>
    </xf>
    <xf numFmtId="0" fontId="4" fillId="12" borderId="4" applyNumberFormat="1" applyFont="1" applyFill="1" applyBorder="1" applyAlignment="1" applyProtection="0">
      <alignment horizontal="center" vertical="bottom" wrapText="1"/>
    </xf>
    <xf numFmtId="49" fontId="4" fillId="12" borderId="4" applyNumberFormat="1" applyFont="1" applyFill="1" applyBorder="1" applyAlignment="1" applyProtection="0">
      <alignment horizontal="center"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0" fontId="0" fillId="2" borderId="11" applyNumberFormat="0" applyFont="1" applyFill="1" applyBorder="1" applyAlignment="1" applyProtection="0">
      <alignment vertical="bottom" wrapText="1"/>
    </xf>
    <xf numFmtId="49" fontId="3" fillId="3" borderId="4" applyNumberFormat="1" applyFont="1" applyFill="1" applyBorder="1" applyAlignment="1" applyProtection="0">
      <alignment vertical="bottom" wrapText="1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3" fillId="13" borderId="4" applyNumberFormat="1" applyFont="1" applyFill="1" applyBorder="1" applyAlignment="1" applyProtection="0">
      <alignment vertical="bottom" wrapText="1"/>
    </xf>
    <xf numFmtId="49" fontId="0" fillId="12" borderId="4" applyNumberFormat="1" applyFont="1" applyFill="1" applyBorder="1" applyAlignment="1" applyProtection="0">
      <alignment vertical="bottom" wrapText="1"/>
    </xf>
    <xf numFmtId="0" fontId="0" fillId="12" borderId="4" applyNumberFormat="1" applyFont="1" applyFill="1" applyBorder="1" applyAlignment="1" applyProtection="0">
      <alignment vertical="bottom" wrapText="1"/>
    </xf>
    <xf numFmtId="4" fontId="0" fillId="12" borderId="4" applyNumberFormat="1" applyFont="1" applyFill="1" applyBorder="1" applyAlignment="1" applyProtection="0">
      <alignment vertical="bottom" wrapText="1"/>
    </xf>
    <xf numFmtId="0" fontId="0" fillId="12" borderId="4" applyNumberFormat="0" applyFont="1" applyFill="1" applyBorder="1" applyAlignment="1" applyProtection="0">
      <alignment vertical="bottom" wrapText="1"/>
    </xf>
    <xf numFmtId="49" fontId="0" fillId="12" borderId="7" applyNumberFormat="1" applyFont="1" applyFill="1" applyBorder="1" applyAlignment="1" applyProtection="0">
      <alignment vertical="bottom" wrapText="1"/>
    </xf>
    <xf numFmtId="0" fontId="0" fillId="12" borderId="7" applyNumberFormat="1" applyFont="1" applyFill="1" applyBorder="1" applyAlignment="1" applyProtection="0">
      <alignment vertical="bottom" wrapText="1"/>
    </xf>
    <xf numFmtId="0" fontId="0" fillId="2" borderId="15" applyNumberFormat="0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vertical="bottom" wrapText="1"/>
    </xf>
    <xf numFmtId="0" fontId="0" fillId="2" borderId="16" applyNumberFormat="0" applyFont="1" applyFill="1" applyBorder="1" applyAlignment="1" applyProtection="0">
      <alignment vertical="bottom" wrapText="1"/>
    </xf>
    <xf numFmtId="49" fontId="4" fillId="12" borderId="7" applyNumberFormat="1" applyFont="1" applyFill="1" applyBorder="1" applyAlignment="1" applyProtection="0">
      <alignment horizontal="center" vertical="bottom" wrapText="1"/>
    </xf>
    <xf numFmtId="4" fontId="0" fillId="12" borderId="7" applyNumberFormat="1" applyFont="1" applyFill="1" applyBorder="1" applyAlignment="1" applyProtection="0">
      <alignment vertical="bottom" wrapText="1"/>
    </xf>
    <xf numFmtId="0" fontId="0" fillId="12" borderId="15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3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3" fillId="3" borderId="4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borderId="17" applyNumberFormat="1" applyFont="1" applyFill="0" applyBorder="1" applyAlignment="1" applyProtection="0">
      <alignment vertical="bottom"/>
    </xf>
    <xf numFmtId="0" fontId="5" borderId="17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8ea2"/>
      <rgbColor rgb="ff0b67f9"/>
      <rgbColor rgb="ffffdc60"/>
      <rgbColor rgb="fffcf5f2"/>
      <rgbColor rgb="ff72bda1"/>
      <rgbColor rgb="ff77dbf1"/>
      <rgbColor rgb="ffd5bdd6"/>
      <rgbColor rgb="ffdcdbee"/>
      <rgbColor rgb="ffaeb6ff"/>
      <rgbColor rgb="ffffc393"/>
      <rgbColor rgb="fff9f9fa"/>
      <rgbColor rgb="ff91b1f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2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2</xdr:col>
      <xdr:colOff>628650</xdr:colOff>
      <xdr:row>3</xdr:row>
      <xdr:rowOff>118</xdr:rowOff>
    </xdr:to>
    <xdr:pic>
      <xdr:nvPicPr>
        <xdr:cNvPr id="2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12800" y="101600"/>
          <a:ext cx="857250" cy="3811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215900</xdr:colOff>
      <xdr:row>36</xdr:row>
      <xdr:rowOff>31750</xdr:rowOff>
    </xdr:to>
    <xdr:pic>
      <xdr:nvPicPr>
        <xdr:cNvPr id="3" name="Image 2" descr="Imag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0"/>
          <a:ext cx="9906000" cy="7429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155574</xdr:rowOff>
    </xdr:to>
    <xdr:pic>
      <xdr:nvPicPr>
        <xdr:cNvPr id="5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12800" y="101600"/>
          <a:ext cx="752475" cy="346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155574</xdr:rowOff>
    </xdr:to>
    <xdr:pic>
      <xdr:nvPicPr>
        <xdr:cNvPr id="7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12800" y="101600"/>
          <a:ext cx="752475" cy="346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155574</xdr:rowOff>
    </xdr:to>
    <xdr:pic>
      <xdr:nvPicPr>
        <xdr:cNvPr id="9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12800" y="101600"/>
          <a:ext cx="752475" cy="346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2286000</xdr:colOff>
      <xdr:row>4</xdr:row>
      <xdr:rowOff>1714500</xdr:rowOff>
    </xdr:to>
    <xdr:pic>
      <xdr:nvPicPr>
        <xdr:cNvPr id="10" name="Image 2" descr="Imag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2800" y="73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2286000</xdr:colOff>
      <xdr:row>5</xdr:row>
      <xdr:rowOff>1714500</xdr:rowOff>
    </xdr:to>
    <xdr:pic>
      <xdr:nvPicPr>
        <xdr:cNvPr id="11" name="Image 3" descr="Imag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812800" y="302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2286000</xdr:colOff>
      <xdr:row>6</xdr:row>
      <xdr:rowOff>1714500</xdr:rowOff>
    </xdr:to>
    <xdr:pic>
      <xdr:nvPicPr>
        <xdr:cNvPr id="12" name="Image 4" descr="Imag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812800" y="531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2286000</xdr:colOff>
      <xdr:row>7</xdr:row>
      <xdr:rowOff>1714500</xdr:rowOff>
    </xdr:to>
    <xdr:pic>
      <xdr:nvPicPr>
        <xdr:cNvPr id="13" name="Image 5" descr="Imag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812800" y="759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2286000</xdr:colOff>
      <xdr:row>8</xdr:row>
      <xdr:rowOff>1714500</xdr:rowOff>
    </xdr:to>
    <xdr:pic>
      <xdr:nvPicPr>
        <xdr:cNvPr id="14" name="Image 6" descr="Imag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812800" y="988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2286000</xdr:colOff>
      <xdr:row>9</xdr:row>
      <xdr:rowOff>1714500</xdr:rowOff>
    </xdr:to>
    <xdr:pic>
      <xdr:nvPicPr>
        <xdr:cNvPr id="15" name="Image 7" descr="Imag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812800" y="1216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2286000</xdr:colOff>
      <xdr:row>10</xdr:row>
      <xdr:rowOff>1714500</xdr:rowOff>
    </xdr:to>
    <xdr:pic>
      <xdr:nvPicPr>
        <xdr:cNvPr id="16" name="Image 8" descr="Imag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812800" y="1445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2286000</xdr:colOff>
      <xdr:row>11</xdr:row>
      <xdr:rowOff>1714500</xdr:rowOff>
    </xdr:to>
    <xdr:pic>
      <xdr:nvPicPr>
        <xdr:cNvPr id="17" name="Image 9" descr="Imag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812800" y="1674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2286000</xdr:colOff>
      <xdr:row>12</xdr:row>
      <xdr:rowOff>1714500</xdr:rowOff>
    </xdr:to>
    <xdr:pic>
      <xdr:nvPicPr>
        <xdr:cNvPr id="18" name="Image 10" descr="Imag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812800" y="1902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2286000</xdr:colOff>
      <xdr:row>13</xdr:row>
      <xdr:rowOff>1714500</xdr:rowOff>
    </xdr:to>
    <xdr:pic>
      <xdr:nvPicPr>
        <xdr:cNvPr id="19" name="Image 11" descr="Imag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812800" y="2131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2286000</xdr:colOff>
      <xdr:row>14</xdr:row>
      <xdr:rowOff>1714500</xdr:rowOff>
    </xdr:to>
    <xdr:pic>
      <xdr:nvPicPr>
        <xdr:cNvPr id="20" name="Image 12" descr="Imag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>
          <a:off x="812800" y="2359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2286000</xdr:colOff>
      <xdr:row>15</xdr:row>
      <xdr:rowOff>1714500</xdr:rowOff>
    </xdr:to>
    <xdr:pic>
      <xdr:nvPicPr>
        <xdr:cNvPr id="21" name="Image 13" descr="Imag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>
          <a:off x="812800" y="2588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2286000</xdr:colOff>
      <xdr:row>16</xdr:row>
      <xdr:rowOff>1714500</xdr:rowOff>
    </xdr:to>
    <xdr:pic>
      <xdr:nvPicPr>
        <xdr:cNvPr id="22" name="Image 14" descr="Imag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>
          <a:off x="812800" y="2817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2286000</xdr:colOff>
      <xdr:row>17</xdr:row>
      <xdr:rowOff>1714500</xdr:rowOff>
    </xdr:to>
    <xdr:pic>
      <xdr:nvPicPr>
        <xdr:cNvPr id="23" name="Image 15" descr="Imag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>
          <a:off x="812800" y="3045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2286000</xdr:colOff>
      <xdr:row>18</xdr:row>
      <xdr:rowOff>1714500</xdr:rowOff>
    </xdr:to>
    <xdr:pic>
      <xdr:nvPicPr>
        <xdr:cNvPr id="24" name="Image 16" descr="Imag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>
          <a:off x="812800" y="3274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2286000</xdr:colOff>
      <xdr:row>19</xdr:row>
      <xdr:rowOff>1714500</xdr:rowOff>
    </xdr:to>
    <xdr:pic>
      <xdr:nvPicPr>
        <xdr:cNvPr id="25" name="Image 17" descr="Imag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>
          <a:off x="812800" y="3502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2286000</xdr:colOff>
      <xdr:row>20</xdr:row>
      <xdr:rowOff>1714500</xdr:rowOff>
    </xdr:to>
    <xdr:pic>
      <xdr:nvPicPr>
        <xdr:cNvPr id="26" name="Image 18" descr="Imag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>
          <a:off x="812800" y="3731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2286000</xdr:colOff>
      <xdr:row>21</xdr:row>
      <xdr:rowOff>1714500</xdr:rowOff>
    </xdr:to>
    <xdr:pic>
      <xdr:nvPicPr>
        <xdr:cNvPr id="27" name="Image 19" descr="Imag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>
          <a:off x="812800" y="3960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2286000</xdr:colOff>
      <xdr:row>22</xdr:row>
      <xdr:rowOff>1714500</xdr:rowOff>
    </xdr:to>
    <xdr:pic>
      <xdr:nvPicPr>
        <xdr:cNvPr id="28" name="Image 20" descr="Imag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>
          <a:off x="812800" y="4188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2286000</xdr:colOff>
      <xdr:row>23</xdr:row>
      <xdr:rowOff>1714500</xdr:rowOff>
    </xdr:to>
    <xdr:pic>
      <xdr:nvPicPr>
        <xdr:cNvPr id="29" name="Image 21" descr="Imag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>
          <a:off x="812800" y="4417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2286000</xdr:colOff>
      <xdr:row>24</xdr:row>
      <xdr:rowOff>1714500</xdr:rowOff>
    </xdr:to>
    <xdr:pic>
      <xdr:nvPicPr>
        <xdr:cNvPr id="30" name="Image 22" descr="Imag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>
          <a:off x="812800" y="4645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2286000</xdr:colOff>
      <xdr:row>25</xdr:row>
      <xdr:rowOff>1714500</xdr:rowOff>
    </xdr:to>
    <xdr:pic>
      <xdr:nvPicPr>
        <xdr:cNvPr id="31" name="Image 23" descr="Imag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>
          <a:off x="812800" y="4874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2286000</xdr:colOff>
      <xdr:row>26</xdr:row>
      <xdr:rowOff>1714500</xdr:rowOff>
    </xdr:to>
    <xdr:pic>
      <xdr:nvPicPr>
        <xdr:cNvPr id="32" name="Image 24" descr="Imag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>
          <a:off x="812800" y="5103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2286000</xdr:colOff>
      <xdr:row>27</xdr:row>
      <xdr:rowOff>1714500</xdr:rowOff>
    </xdr:to>
    <xdr:pic>
      <xdr:nvPicPr>
        <xdr:cNvPr id="33" name="Image 25" descr="Imag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>
          <a:off x="812800" y="5331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2286000</xdr:colOff>
      <xdr:row>28</xdr:row>
      <xdr:rowOff>1714500</xdr:rowOff>
    </xdr:to>
    <xdr:pic>
      <xdr:nvPicPr>
        <xdr:cNvPr id="34" name="Image 26" descr="Imag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>
          <a:off x="812800" y="5560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2286000</xdr:colOff>
      <xdr:row>29</xdr:row>
      <xdr:rowOff>1714500</xdr:rowOff>
    </xdr:to>
    <xdr:pic>
      <xdr:nvPicPr>
        <xdr:cNvPr id="35" name="Image 27" descr="Imag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>
          <a:off x="812800" y="5788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2286000</xdr:colOff>
      <xdr:row>30</xdr:row>
      <xdr:rowOff>1714500</xdr:rowOff>
    </xdr:to>
    <xdr:pic>
      <xdr:nvPicPr>
        <xdr:cNvPr id="36" name="Image 28" descr="Imag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>
          <a:off x="812800" y="60175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2286000</xdr:colOff>
      <xdr:row>31</xdr:row>
      <xdr:rowOff>1714500</xdr:rowOff>
    </xdr:to>
    <xdr:pic>
      <xdr:nvPicPr>
        <xdr:cNvPr id="37" name="Image 29" descr="Imag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>
          <a:off x="812800" y="62461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2286000</xdr:colOff>
      <xdr:row>32</xdr:row>
      <xdr:rowOff>1714500</xdr:rowOff>
    </xdr:to>
    <xdr:pic>
      <xdr:nvPicPr>
        <xdr:cNvPr id="38" name="Image 30" descr="Imag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>
          <a:off x="812800" y="64747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2286000</xdr:colOff>
      <xdr:row>33</xdr:row>
      <xdr:rowOff>1714500</xdr:rowOff>
    </xdr:to>
    <xdr:pic>
      <xdr:nvPicPr>
        <xdr:cNvPr id="39" name="Image 31" descr="Imag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>
          <a:off x="812800" y="67033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2286000</xdr:colOff>
      <xdr:row>34</xdr:row>
      <xdr:rowOff>1714500</xdr:rowOff>
    </xdr:to>
    <xdr:pic>
      <xdr:nvPicPr>
        <xdr:cNvPr id="40" name="Image 32" descr="Imag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>
          <a:off x="812800" y="69319775"/>
          <a:ext cx="2286000" cy="1714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155574</xdr:rowOff>
    </xdr:to>
    <xdr:pic>
      <xdr:nvPicPr>
        <xdr:cNvPr id="4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98500" y="101600"/>
          <a:ext cx="752475" cy="346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142874</xdr:rowOff>
    </xdr:to>
    <xdr:pic>
      <xdr:nvPicPr>
        <xdr:cNvPr id="44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101600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114299</xdr:rowOff>
    </xdr:to>
    <xdr:pic>
      <xdr:nvPicPr>
        <xdr:cNvPr id="46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101600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114299</xdr:rowOff>
    </xdr:to>
    <xdr:pic>
      <xdr:nvPicPr>
        <xdr:cNvPr id="48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101600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2</xdr:row>
      <xdr:rowOff>0</xdr:rowOff>
    </xdr:from>
    <xdr:to>
      <xdr:col>1</xdr:col>
      <xdr:colOff>752475</xdr:colOff>
      <xdr:row>3</xdr:row>
      <xdr:rowOff>142874</xdr:rowOff>
    </xdr:to>
    <xdr:pic>
      <xdr:nvPicPr>
        <xdr:cNvPr id="50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263525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142874</xdr:rowOff>
    </xdr:to>
    <xdr:pic>
      <xdr:nvPicPr>
        <xdr:cNvPr id="52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101600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752475</xdr:colOff>
      <xdr:row>2</xdr:row>
      <xdr:rowOff>114299</xdr:rowOff>
    </xdr:to>
    <xdr:pic>
      <xdr:nvPicPr>
        <xdr:cNvPr id="54" name="Picture 2" descr="Picture 2"/>
        <xdr:cNvPicPr>
          <a:picLocks noChangeAspect="1"/>
        </xdr:cNvPicPr>
      </xdr:nvPicPr>
      <xdr:blipFill>
        <a:blip r:embed="rId1">
          <a:extLst/>
        </a:blip>
        <a:srcRect l="0" t="0" r="0" b="11927"/>
        <a:stretch>
          <a:fillRect/>
        </a:stretch>
      </xdr:blipFill>
      <xdr:spPr>
        <a:xfrm>
          <a:off x="812800" y="101600"/>
          <a:ext cx="752475" cy="304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S60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1" customWidth="1"/>
    <col min="2" max="2" width="3" style="1" customWidth="1"/>
    <col min="3" max="3" width="35.5" style="1" customWidth="1"/>
    <col min="4" max="17" width="8.67188" style="1" customWidth="1"/>
    <col min="18" max="18" width="40.5" style="1" customWidth="1"/>
    <col min="19" max="19" width="14.5" style="1" customWidth="1"/>
    <col min="20" max="16384" width="14.5" style="1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t="s" s="5">
        <v>0</v>
      </c>
      <c r="R4" s="6"/>
      <c r="S4" s="7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8"/>
      <c r="R5" t="s" s="9">
        <v>1</v>
      </c>
      <c r="S5" s="7"/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10"/>
      <c r="R6" t="s" s="9">
        <v>2</v>
      </c>
      <c r="S6" s="7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11"/>
      <c r="R7" t="s" s="9">
        <v>3</v>
      </c>
      <c r="S7" s="7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12"/>
      <c r="R8" t="s" s="9">
        <v>4</v>
      </c>
      <c r="S8" s="7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13"/>
      <c r="R9" t="s" s="9">
        <v>5</v>
      </c>
      <c r="S9" s="7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14"/>
      <c r="R10" t="s" s="9">
        <v>6</v>
      </c>
      <c r="S10" s="7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15"/>
      <c r="R11" t="s" s="9">
        <v>7</v>
      </c>
      <c r="S11" s="7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6"/>
      <c r="R12" s="16"/>
      <c r="S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6.5" customHeight="1">
      <c r="A50" s="2"/>
      <c r="B50" s="2"/>
      <c r="C50" s="2"/>
      <c r="D50" s="1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6.5" customHeight="1">
      <c r="A51" s="2"/>
      <c r="B51" s="2"/>
      <c r="C51" s="2"/>
      <c r="D51" s="1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6.5" customHeight="1">
      <c r="A52" s="2"/>
      <c r="B52" s="2"/>
      <c r="C52" s="2"/>
      <c r="D52" s="1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6.5" customHeight="1">
      <c r="A53" s="2"/>
      <c r="B53" s="2"/>
      <c r="C53" s="2"/>
      <c r="D53" s="1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6.5" customHeight="1">
      <c r="A54" s="2"/>
      <c r="B54" s="2"/>
      <c r="C54" s="2"/>
      <c r="D54" s="1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6.5" customHeight="1">
      <c r="A55" s="2"/>
      <c r="B55" s="2"/>
      <c r="C55" s="2"/>
      <c r="D55" s="1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6.5" customHeight="1">
      <c r="A56" s="2"/>
      <c r="B56" s="2"/>
      <c r="C56" s="2"/>
      <c r="D56" s="1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6.5" customHeight="1">
      <c r="A57" s="2"/>
      <c r="B57" s="2"/>
      <c r="C57" s="2"/>
      <c r="D57" s="1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6.5" customHeight="1">
      <c r="A58" s="2"/>
      <c r="B58" s="2"/>
      <c r="C58" s="2"/>
      <c r="D58" s="1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6.5" customHeight="1">
      <c r="A59" s="2"/>
      <c r="B59" s="2"/>
      <c r="C59" s="2"/>
      <c r="D59" s="1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6.5" customHeight="1">
      <c r="A60" s="2"/>
      <c r="B60" s="2"/>
      <c r="C60" s="2"/>
      <c r="D60" s="1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</sheetData>
  <mergeCells count="1">
    <mergeCell ref="Q4:R4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R79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19" customWidth="1"/>
    <col min="2" max="5" width="20.6719" style="19" customWidth="1"/>
    <col min="6" max="6" width="40.6719" style="19" customWidth="1"/>
    <col min="7" max="10" width="20.6719" style="19" customWidth="1"/>
    <col min="11" max="11" width="9.17188" style="19" customWidth="1"/>
    <col min="12" max="31" width="8.67188" style="19" customWidth="1"/>
    <col min="32" max="70" width="14.5" style="19" customWidth="1"/>
    <col min="71" max="16384" width="14.5" style="19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2.75" customHeight="1">
      <c r="A4" s="4"/>
      <c r="B4" t="s" s="5">
        <v>8</v>
      </c>
      <c r="C4" t="s" s="5">
        <v>9</v>
      </c>
      <c r="D4" t="s" s="20">
        <v>10</v>
      </c>
      <c r="E4" t="s" s="21">
        <v>11</v>
      </c>
      <c r="F4" t="s" s="20">
        <v>12</v>
      </c>
      <c r="G4" t="s" s="20">
        <v>13</v>
      </c>
      <c r="H4" t="s" s="20">
        <v>14</v>
      </c>
      <c r="I4" t="s" s="20">
        <v>15</v>
      </c>
      <c r="J4" t="s" s="20">
        <v>16</v>
      </c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2.75" customHeight="1">
      <c r="A5" s="4"/>
      <c r="B5" t="s" s="22">
        <v>17</v>
      </c>
      <c r="C5" s="23">
        <v>1</v>
      </c>
      <c r="D5" s="23">
        <v>186</v>
      </c>
      <c r="E5" t="s" s="22">
        <v>18</v>
      </c>
      <c r="F5" t="s" s="22">
        <v>19</v>
      </c>
      <c r="G5" t="s" s="22">
        <v>17</v>
      </c>
      <c r="H5" s="23">
        <v>1</v>
      </c>
      <c r="I5" s="23">
        <v>0</v>
      </c>
      <c r="J5" s="23">
        <f>H5*I5</f>
        <v>0</v>
      </c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.75" customHeight="1">
      <c r="A6" s="4"/>
      <c r="B6" s="24"/>
      <c r="C6" s="23">
        <v>1</v>
      </c>
      <c r="D6" s="23">
        <v>186</v>
      </c>
      <c r="E6" t="s" s="22">
        <v>18</v>
      </c>
      <c r="F6" t="s" s="22">
        <v>20</v>
      </c>
      <c r="G6" s="24"/>
      <c r="H6" s="23">
        <v>1</v>
      </c>
      <c r="I6" s="23">
        <v>0</v>
      </c>
      <c r="J6" s="23">
        <f>H6*I6</f>
        <v>0</v>
      </c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.75" customHeight="1">
      <c r="A7" s="4"/>
      <c r="B7" s="24"/>
      <c r="C7" s="23">
        <v>1</v>
      </c>
      <c r="D7" s="23">
        <v>133</v>
      </c>
      <c r="E7" t="s" s="22">
        <v>21</v>
      </c>
      <c r="F7" t="s" s="22">
        <v>22</v>
      </c>
      <c r="G7" s="24"/>
      <c r="H7" s="23">
        <v>1</v>
      </c>
      <c r="I7" s="23">
        <v>0</v>
      </c>
      <c r="J7" s="23">
        <f>H7*I7</f>
        <v>0</v>
      </c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.75" customHeight="1">
      <c r="A8" s="4"/>
      <c r="B8" s="24"/>
      <c r="C8" s="23">
        <v>1</v>
      </c>
      <c r="D8" s="23">
        <v>133</v>
      </c>
      <c r="E8" t="s" s="22">
        <v>21</v>
      </c>
      <c r="F8" t="s" s="22">
        <v>23</v>
      </c>
      <c r="G8" s="24"/>
      <c r="H8" s="23">
        <v>10</v>
      </c>
      <c r="I8" s="23">
        <v>0</v>
      </c>
      <c r="J8" s="23">
        <f>H8*I8</f>
        <v>0</v>
      </c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.75" customHeight="1">
      <c r="A9" s="4"/>
      <c r="B9" s="24"/>
      <c r="C9" s="23">
        <v>1</v>
      </c>
      <c r="D9" s="23">
        <v>283</v>
      </c>
      <c r="E9" t="s" s="22">
        <v>21</v>
      </c>
      <c r="F9" t="s" s="22">
        <v>24</v>
      </c>
      <c r="G9" s="24"/>
      <c r="H9" s="23">
        <v>1</v>
      </c>
      <c r="I9" s="23">
        <v>0</v>
      </c>
      <c r="J9" s="23">
        <f>H9*I9</f>
        <v>0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.75" customHeight="1">
      <c r="A10" s="4"/>
      <c r="B10" s="24"/>
      <c r="C10" s="23">
        <v>1</v>
      </c>
      <c r="D10" s="23">
        <v>284</v>
      </c>
      <c r="E10" t="s" s="22">
        <v>21</v>
      </c>
      <c r="F10" t="s" s="22">
        <v>24</v>
      </c>
      <c r="G10" s="24"/>
      <c r="H10" s="23">
        <v>1</v>
      </c>
      <c r="I10" s="23">
        <v>0</v>
      </c>
      <c r="J10" s="23">
        <f>H10*I10</f>
        <v>0</v>
      </c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.75" customHeight="1">
      <c r="A11" s="4"/>
      <c r="B11" s="24"/>
      <c r="C11" s="23">
        <v>1</v>
      </c>
      <c r="D11" s="23">
        <v>286</v>
      </c>
      <c r="E11" t="s" s="22">
        <v>25</v>
      </c>
      <c r="F11" t="s" s="22">
        <v>26</v>
      </c>
      <c r="G11" s="24"/>
      <c r="H11" s="23">
        <v>1</v>
      </c>
      <c r="I11" s="23">
        <v>0</v>
      </c>
      <c r="J11" s="23">
        <f>H11*I11</f>
        <v>0</v>
      </c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.75" customHeight="1">
      <c r="A12" s="4"/>
      <c r="B12" s="24"/>
      <c r="C12" s="23">
        <v>1</v>
      </c>
      <c r="D12" s="23">
        <v>286</v>
      </c>
      <c r="E12" t="s" s="22">
        <v>25</v>
      </c>
      <c r="F12" t="s" s="22">
        <v>27</v>
      </c>
      <c r="G12" s="24"/>
      <c r="H12" s="23">
        <v>1</v>
      </c>
      <c r="I12" s="23">
        <v>0</v>
      </c>
      <c r="J12" s="23">
        <f>H12*I12</f>
        <v>0</v>
      </c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.75" customHeight="1">
      <c r="A13" s="4"/>
      <c r="B13" s="24"/>
      <c r="C13" s="23">
        <v>1</v>
      </c>
      <c r="D13" s="23">
        <v>286</v>
      </c>
      <c r="E13" t="s" s="22">
        <v>25</v>
      </c>
      <c r="F13" t="s" s="22">
        <v>28</v>
      </c>
      <c r="G13" s="24"/>
      <c r="H13" s="23">
        <v>1</v>
      </c>
      <c r="I13" s="23">
        <v>0</v>
      </c>
      <c r="J13" s="23">
        <f>H13*I13</f>
        <v>0</v>
      </c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.75" customHeight="1">
      <c r="A14" s="4"/>
      <c r="B14" s="24"/>
      <c r="C14" s="23">
        <v>1</v>
      </c>
      <c r="D14" s="23">
        <v>286</v>
      </c>
      <c r="E14" t="s" s="22">
        <v>25</v>
      </c>
      <c r="F14" t="s" s="22">
        <v>29</v>
      </c>
      <c r="G14" s="24"/>
      <c r="H14" s="23">
        <v>4</v>
      </c>
      <c r="I14" s="23">
        <v>0</v>
      </c>
      <c r="J14" s="23">
        <f>H14*I14</f>
        <v>0</v>
      </c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.75" customHeight="1">
      <c r="A15" s="4"/>
      <c r="B15" s="24"/>
      <c r="C15" s="23">
        <v>1</v>
      </c>
      <c r="D15" s="23">
        <v>279</v>
      </c>
      <c r="E15" t="s" s="22">
        <v>30</v>
      </c>
      <c r="F15" t="s" s="22">
        <v>31</v>
      </c>
      <c r="G15" s="24"/>
      <c r="H15" s="23">
        <v>2</v>
      </c>
      <c r="I15" s="23">
        <v>0</v>
      </c>
      <c r="J15" s="23">
        <f>H15*I15</f>
        <v>0</v>
      </c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.75" customHeight="1">
      <c r="A16" s="4"/>
      <c r="B16" s="24"/>
      <c r="C16" s="23">
        <v>1</v>
      </c>
      <c r="D16" s="23">
        <v>279</v>
      </c>
      <c r="E16" t="s" s="22">
        <v>30</v>
      </c>
      <c r="F16" t="s" s="22">
        <v>20</v>
      </c>
      <c r="G16" s="24"/>
      <c r="H16" s="23">
        <v>1</v>
      </c>
      <c r="I16" s="23">
        <v>0</v>
      </c>
      <c r="J16" s="23">
        <f>H16*I16</f>
        <v>0</v>
      </c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.75" customHeight="1">
      <c r="A17" s="4"/>
      <c r="B17" s="24"/>
      <c r="C17" s="23">
        <v>1</v>
      </c>
      <c r="D17" s="23">
        <v>279</v>
      </c>
      <c r="E17" t="s" s="22">
        <v>30</v>
      </c>
      <c r="F17" t="s" s="22">
        <v>32</v>
      </c>
      <c r="G17" s="24"/>
      <c r="H17" s="23">
        <v>1</v>
      </c>
      <c r="I17" s="23">
        <v>0</v>
      </c>
      <c r="J17" s="23">
        <f>H17*I17</f>
        <v>0</v>
      </c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.75" customHeight="1">
      <c r="A18" s="4"/>
      <c r="B18" s="24"/>
      <c r="C18" s="23">
        <v>1</v>
      </c>
      <c r="D18" s="23">
        <v>279</v>
      </c>
      <c r="E18" t="s" s="22">
        <v>30</v>
      </c>
      <c r="F18" t="s" s="22">
        <v>33</v>
      </c>
      <c r="G18" s="24"/>
      <c r="H18" s="23">
        <v>2</v>
      </c>
      <c r="I18" s="23">
        <v>0</v>
      </c>
      <c r="J18" s="23">
        <f>H18*I18</f>
        <v>0</v>
      </c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.75" customHeight="1">
      <c r="A19" s="4"/>
      <c r="B19" s="24"/>
      <c r="C19" s="23">
        <v>1</v>
      </c>
      <c r="D19" s="23">
        <v>279</v>
      </c>
      <c r="E19" t="s" s="22">
        <v>30</v>
      </c>
      <c r="F19" t="s" s="22">
        <v>34</v>
      </c>
      <c r="G19" s="24"/>
      <c r="H19" s="23">
        <v>1</v>
      </c>
      <c r="I19" s="23">
        <v>0</v>
      </c>
      <c r="J19" s="23">
        <f>H19*I19</f>
        <v>0</v>
      </c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.75" customHeight="1">
      <c r="A20" s="4"/>
      <c r="B20" s="24"/>
      <c r="C20" s="23">
        <v>1</v>
      </c>
      <c r="D20" s="23">
        <v>279</v>
      </c>
      <c r="E20" t="s" s="22">
        <v>30</v>
      </c>
      <c r="F20" t="s" s="25">
        <v>35</v>
      </c>
      <c r="G20" s="24"/>
      <c r="H20" s="23">
        <v>1</v>
      </c>
      <c r="I20" s="23">
        <v>0</v>
      </c>
      <c r="J20" s="23">
        <f>H20*I20</f>
        <v>0</v>
      </c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.75" customHeight="1">
      <c r="A21" s="4"/>
      <c r="B21" s="24"/>
      <c r="C21" s="23">
        <v>1</v>
      </c>
      <c r="D21" s="23">
        <v>254</v>
      </c>
      <c r="E21" t="s" s="22">
        <v>18</v>
      </c>
      <c r="F21" t="s" s="22">
        <v>19</v>
      </c>
      <c r="G21" s="24"/>
      <c r="H21" s="23">
        <v>1</v>
      </c>
      <c r="I21" s="23">
        <v>0</v>
      </c>
      <c r="J21" s="23">
        <f>H21*I21</f>
        <v>0</v>
      </c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.75" customHeight="1">
      <c r="A22" s="4"/>
      <c r="B22" s="24"/>
      <c r="C22" s="23">
        <v>1</v>
      </c>
      <c r="D22" s="23">
        <v>254</v>
      </c>
      <c r="E22" t="s" s="22">
        <v>18</v>
      </c>
      <c r="F22" t="s" s="22">
        <v>20</v>
      </c>
      <c r="G22" s="24"/>
      <c r="H22" s="23">
        <v>1</v>
      </c>
      <c r="I22" s="23">
        <v>0</v>
      </c>
      <c r="J22" s="23">
        <f>H22*I22</f>
        <v>0</v>
      </c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.75" customHeight="1">
      <c r="A23" s="4"/>
      <c r="B23" s="24"/>
      <c r="C23" s="23">
        <v>1</v>
      </c>
      <c r="D23" s="23">
        <v>207</v>
      </c>
      <c r="E23" t="s" s="22">
        <v>21</v>
      </c>
      <c r="F23" t="s" s="22">
        <v>36</v>
      </c>
      <c r="G23" s="24"/>
      <c r="H23" s="23">
        <v>1</v>
      </c>
      <c r="I23" s="23">
        <v>0</v>
      </c>
      <c r="J23" s="23">
        <f>H23*I23</f>
        <v>0</v>
      </c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.75" customHeight="1">
      <c r="A24" s="4"/>
      <c r="B24" s="24"/>
      <c r="C24" s="23">
        <v>1</v>
      </c>
      <c r="D24" s="23">
        <v>207</v>
      </c>
      <c r="E24" t="s" s="22">
        <v>21</v>
      </c>
      <c r="F24" t="s" s="22">
        <v>23</v>
      </c>
      <c r="G24" s="24"/>
      <c r="H24" s="23">
        <v>12</v>
      </c>
      <c r="I24" s="23">
        <v>0</v>
      </c>
      <c r="J24" s="23">
        <f>H24*I24</f>
        <v>0</v>
      </c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.75" customHeight="1">
      <c r="A25" s="4"/>
      <c r="B25" s="24"/>
      <c r="C25" s="23">
        <v>1</v>
      </c>
      <c r="D25" s="23">
        <v>289</v>
      </c>
      <c r="E25" t="s" s="22">
        <v>25</v>
      </c>
      <c r="F25" t="s" s="22">
        <v>37</v>
      </c>
      <c r="G25" s="24"/>
      <c r="H25" s="23">
        <v>2</v>
      </c>
      <c r="I25" s="23">
        <v>0</v>
      </c>
      <c r="J25" s="23">
        <f>H25*I25</f>
        <v>0</v>
      </c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.75" customHeight="1">
      <c r="A26" s="4"/>
      <c r="B26" s="24"/>
      <c r="C26" s="23">
        <v>1</v>
      </c>
      <c r="D26" s="23">
        <v>289</v>
      </c>
      <c r="E26" t="s" s="22">
        <v>25</v>
      </c>
      <c r="F26" t="s" s="22">
        <v>38</v>
      </c>
      <c r="G26" s="24"/>
      <c r="H26" s="23">
        <v>16</v>
      </c>
      <c r="I26" s="23">
        <v>0</v>
      </c>
      <c r="J26" s="23">
        <f>H26*I26</f>
        <v>0</v>
      </c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.75" customHeight="1">
      <c r="A27" s="4"/>
      <c r="B27" s="24"/>
      <c r="C27" s="23">
        <v>1</v>
      </c>
      <c r="D27" s="23">
        <v>289</v>
      </c>
      <c r="E27" t="s" s="22">
        <v>25</v>
      </c>
      <c r="F27" t="s" s="22">
        <v>39</v>
      </c>
      <c r="G27" s="24"/>
      <c r="H27" s="23">
        <v>1</v>
      </c>
      <c r="I27" s="23">
        <v>0</v>
      </c>
      <c r="J27" s="23">
        <f>H27*I27</f>
        <v>0</v>
      </c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.75" customHeight="1">
      <c r="A28" s="4"/>
      <c r="B28" s="24"/>
      <c r="C28" s="23">
        <v>1</v>
      </c>
      <c r="D28" s="23">
        <v>293</v>
      </c>
      <c r="E28" t="s" s="22">
        <v>40</v>
      </c>
      <c r="F28" t="s" s="22">
        <v>41</v>
      </c>
      <c r="G28" s="24"/>
      <c r="H28" s="23">
        <v>1</v>
      </c>
      <c r="I28" s="23">
        <v>0</v>
      </c>
      <c r="J28" s="23">
        <f>H28*I28</f>
        <v>0</v>
      </c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.75" customHeight="1">
      <c r="A29" s="4"/>
      <c r="B29" s="24"/>
      <c r="C29" s="23">
        <v>1</v>
      </c>
      <c r="D29" s="23">
        <v>293</v>
      </c>
      <c r="E29" t="s" s="22">
        <v>40</v>
      </c>
      <c r="F29" t="s" s="22">
        <v>39</v>
      </c>
      <c r="G29" s="24"/>
      <c r="H29" s="23">
        <v>1</v>
      </c>
      <c r="I29" s="23">
        <v>0</v>
      </c>
      <c r="J29" s="23">
        <f>H29*I29</f>
        <v>0</v>
      </c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.75" customHeight="1">
      <c r="A30" s="4"/>
      <c r="B30" s="24"/>
      <c r="C30" s="23">
        <v>1</v>
      </c>
      <c r="D30" s="23">
        <v>298</v>
      </c>
      <c r="E30" t="s" s="22">
        <v>21</v>
      </c>
      <c r="F30" t="s" s="22">
        <v>42</v>
      </c>
      <c r="G30" s="24"/>
      <c r="H30" s="23">
        <v>1</v>
      </c>
      <c r="I30" s="23">
        <v>0</v>
      </c>
      <c r="J30" s="23">
        <f>H30*I30</f>
        <v>0</v>
      </c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.75" customHeight="1">
      <c r="A31" s="4"/>
      <c r="B31" s="24"/>
      <c r="C31" s="23">
        <v>1</v>
      </c>
      <c r="D31" s="23">
        <v>298</v>
      </c>
      <c r="E31" t="s" s="22">
        <v>21</v>
      </c>
      <c r="F31" t="s" s="22">
        <v>37</v>
      </c>
      <c r="G31" s="24"/>
      <c r="H31" s="23">
        <v>3</v>
      </c>
      <c r="I31" s="23">
        <v>0</v>
      </c>
      <c r="J31" s="23">
        <f>H31*I31</f>
        <v>0</v>
      </c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.75" customHeight="1">
      <c r="A32" s="4"/>
      <c r="B32" s="24"/>
      <c r="C32" s="23">
        <v>1</v>
      </c>
      <c r="D32" s="23">
        <v>299</v>
      </c>
      <c r="E32" t="s" s="22">
        <v>21</v>
      </c>
      <c r="F32" t="s" s="22">
        <v>42</v>
      </c>
      <c r="G32" s="24"/>
      <c r="H32" s="23">
        <v>1</v>
      </c>
      <c r="I32" s="23">
        <v>0</v>
      </c>
      <c r="J32" s="23">
        <f>H32*I32</f>
        <v>0</v>
      </c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.75" customHeight="1">
      <c r="A33" s="4"/>
      <c r="B33" s="24"/>
      <c r="C33" s="23">
        <v>1</v>
      </c>
      <c r="D33" s="23">
        <v>299</v>
      </c>
      <c r="E33" t="s" s="22">
        <v>21</v>
      </c>
      <c r="F33" t="s" s="22">
        <v>37</v>
      </c>
      <c r="G33" s="24"/>
      <c r="H33" s="23">
        <v>3</v>
      </c>
      <c r="I33" s="23">
        <v>0</v>
      </c>
      <c r="J33" s="23">
        <f>H33*I33</f>
        <v>0</v>
      </c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.75" customHeight="1">
      <c r="A34" s="4"/>
      <c r="B34" s="24"/>
      <c r="C34" s="23">
        <v>1</v>
      </c>
      <c r="D34" s="23">
        <v>149</v>
      </c>
      <c r="E34" t="s" s="22">
        <v>43</v>
      </c>
      <c r="F34" t="s" s="22">
        <v>44</v>
      </c>
      <c r="G34" s="24"/>
      <c r="H34" s="23">
        <v>10</v>
      </c>
      <c r="I34" s="23">
        <v>0</v>
      </c>
      <c r="J34" s="23">
        <f>H34*I34</f>
        <v>0</v>
      </c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.75" customHeight="1">
      <c r="A35" s="4"/>
      <c r="B35" s="24"/>
      <c r="C35" s="23">
        <v>1</v>
      </c>
      <c r="D35" s="23">
        <v>149</v>
      </c>
      <c r="E35" t="s" s="22">
        <v>43</v>
      </c>
      <c r="F35" t="s" s="22">
        <v>37</v>
      </c>
      <c r="G35" s="24"/>
      <c r="H35" s="23">
        <v>2</v>
      </c>
      <c r="I35" s="23">
        <v>0</v>
      </c>
      <c r="J35" s="23">
        <f>H35*I35</f>
        <v>0</v>
      </c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.75" customHeight="1">
      <c r="A36" s="4"/>
      <c r="B36" s="24"/>
      <c r="C36" s="23">
        <v>1</v>
      </c>
      <c r="D36" s="23">
        <v>149</v>
      </c>
      <c r="E36" t="s" s="22">
        <v>43</v>
      </c>
      <c r="F36" t="s" s="22">
        <v>39</v>
      </c>
      <c r="G36" s="24"/>
      <c r="H36" s="23">
        <v>1</v>
      </c>
      <c r="I36" s="23">
        <v>0</v>
      </c>
      <c r="J36" s="23">
        <f>H36*I36</f>
        <v>0</v>
      </c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.75" customHeight="1">
      <c r="A37" s="4"/>
      <c r="B37" s="24"/>
      <c r="C37" s="23">
        <v>1</v>
      </c>
      <c r="D37" s="23">
        <v>302</v>
      </c>
      <c r="E37" t="s" s="22">
        <v>30</v>
      </c>
      <c r="F37" t="s" s="22">
        <v>31</v>
      </c>
      <c r="G37" s="24"/>
      <c r="H37" s="23">
        <v>2</v>
      </c>
      <c r="I37" s="23">
        <v>0</v>
      </c>
      <c r="J37" s="23">
        <f>H37*I37</f>
        <v>0</v>
      </c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.75" customHeight="1">
      <c r="A38" s="4"/>
      <c r="B38" s="24"/>
      <c r="C38" s="23">
        <v>1</v>
      </c>
      <c r="D38" s="23">
        <v>302</v>
      </c>
      <c r="E38" t="s" s="22">
        <v>30</v>
      </c>
      <c r="F38" t="s" s="22">
        <v>20</v>
      </c>
      <c r="G38" s="24"/>
      <c r="H38" s="23">
        <v>1</v>
      </c>
      <c r="I38" s="23">
        <v>0</v>
      </c>
      <c r="J38" s="23">
        <f>H38*I38</f>
        <v>0</v>
      </c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.75" customHeight="1">
      <c r="A39" s="4"/>
      <c r="B39" s="24"/>
      <c r="C39" s="23">
        <v>1</v>
      </c>
      <c r="D39" s="23">
        <v>302</v>
      </c>
      <c r="E39" t="s" s="22">
        <v>30</v>
      </c>
      <c r="F39" t="s" s="22">
        <v>32</v>
      </c>
      <c r="G39" s="24"/>
      <c r="H39" s="23">
        <v>1</v>
      </c>
      <c r="I39" s="23">
        <v>0</v>
      </c>
      <c r="J39" s="23">
        <f>H39*I39</f>
        <v>0</v>
      </c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.75" customHeight="1">
      <c r="A40" s="4"/>
      <c r="B40" s="24"/>
      <c r="C40" s="23">
        <v>1</v>
      </c>
      <c r="D40" s="23">
        <v>302</v>
      </c>
      <c r="E40" t="s" s="22">
        <v>30</v>
      </c>
      <c r="F40" t="s" s="22">
        <v>33</v>
      </c>
      <c r="G40" s="24"/>
      <c r="H40" s="23">
        <v>2</v>
      </c>
      <c r="I40" s="23">
        <v>0</v>
      </c>
      <c r="J40" s="23">
        <f>H40*I40</f>
        <v>0</v>
      </c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.75" customHeight="1">
      <c r="A41" s="4"/>
      <c r="B41" s="24"/>
      <c r="C41" s="23">
        <v>1</v>
      </c>
      <c r="D41" s="23">
        <v>302</v>
      </c>
      <c r="E41" t="s" s="22">
        <v>30</v>
      </c>
      <c r="F41" t="s" s="22">
        <v>34</v>
      </c>
      <c r="G41" s="24"/>
      <c r="H41" s="23">
        <v>2</v>
      </c>
      <c r="I41" s="23">
        <v>0</v>
      </c>
      <c r="J41" s="23">
        <f>H41*I41</f>
        <v>0</v>
      </c>
      <c r="K41" s="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.75" customHeight="1">
      <c r="A42" s="4"/>
      <c r="B42" s="24"/>
      <c r="C42" s="23">
        <v>1</v>
      </c>
      <c r="D42" s="23">
        <v>302</v>
      </c>
      <c r="E42" t="s" s="22">
        <v>30</v>
      </c>
      <c r="F42" t="s" s="25">
        <v>35</v>
      </c>
      <c r="G42" s="24"/>
      <c r="H42" s="23">
        <v>1</v>
      </c>
      <c r="I42" s="23">
        <v>0</v>
      </c>
      <c r="J42" s="23">
        <f>H42*I42</f>
        <v>0</v>
      </c>
      <c r="K42" s="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.75" customHeight="1">
      <c r="A43" s="4"/>
      <c r="B43" s="24"/>
      <c r="C43" s="23">
        <v>1</v>
      </c>
      <c r="D43" s="23">
        <v>132</v>
      </c>
      <c r="E43" t="s" s="22">
        <v>45</v>
      </c>
      <c r="F43" t="s" s="22">
        <v>46</v>
      </c>
      <c r="G43" s="24"/>
      <c r="H43" s="23">
        <v>2</v>
      </c>
      <c r="I43" s="23">
        <v>0</v>
      </c>
      <c r="J43" s="23">
        <f>H43*I43</f>
        <v>0</v>
      </c>
      <c r="K43" s="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.75" customHeight="1">
      <c r="A44" s="4"/>
      <c r="B44" s="24"/>
      <c r="C44" s="23">
        <v>1</v>
      </c>
      <c r="D44" s="23">
        <v>132</v>
      </c>
      <c r="E44" t="s" s="22">
        <v>45</v>
      </c>
      <c r="F44" t="s" s="22">
        <v>47</v>
      </c>
      <c r="G44" s="24"/>
      <c r="H44" s="23">
        <v>1</v>
      </c>
      <c r="I44" s="23">
        <v>0</v>
      </c>
      <c r="J44" s="23">
        <f>H44*I44</f>
        <v>0</v>
      </c>
      <c r="K44" s="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.75" customHeight="1">
      <c r="A45" s="4"/>
      <c r="B45" s="24"/>
      <c r="C45" s="23">
        <v>1</v>
      </c>
      <c r="D45" s="23">
        <v>132</v>
      </c>
      <c r="E45" t="s" s="22">
        <v>45</v>
      </c>
      <c r="F45" t="s" s="22">
        <v>48</v>
      </c>
      <c r="G45" s="24"/>
      <c r="H45" s="23">
        <v>3</v>
      </c>
      <c r="I45" s="23">
        <v>0</v>
      </c>
      <c r="J45" s="23">
        <f>H45*I45</f>
        <v>0</v>
      </c>
      <c r="K45" s="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.75" customHeight="1">
      <c r="A46" s="4"/>
      <c r="B46" s="24"/>
      <c r="C46" s="23">
        <v>1</v>
      </c>
      <c r="D46" s="23">
        <v>132</v>
      </c>
      <c r="E46" t="s" s="22">
        <v>45</v>
      </c>
      <c r="F46" t="s" s="22">
        <v>49</v>
      </c>
      <c r="G46" s="24"/>
      <c r="H46" s="23">
        <v>3</v>
      </c>
      <c r="I46" s="23">
        <v>0</v>
      </c>
      <c r="J46" s="23">
        <f>H46*I46</f>
        <v>0</v>
      </c>
      <c r="K46" s="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.75" customHeight="1">
      <c r="A47" s="4"/>
      <c r="B47" s="24"/>
      <c r="C47" s="23">
        <v>1</v>
      </c>
      <c r="D47" s="23">
        <v>132</v>
      </c>
      <c r="E47" t="s" s="22">
        <v>45</v>
      </c>
      <c r="F47" t="s" s="22">
        <v>50</v>
      </c>
      <c r="G47" s="24"/>
      <c r="H47" s="23">
        <v>2</v>
      </c>
      <c r="I47" s="23">
        <v>0</v>
      </c>
      <c r="J47" s="23">
        <f>H47*I47</f>
        <v>0</v>
      </c>
      <c r="K47" s="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.75" customHeight="1">
      <c r="A48" s="4"/>
      <c r="B48" s="24"/>
      <c r="C48" s="23">
        <v>1</v>
      </c>
      <c r="D48" s="23">
        <v>132</v>
      </c>
      <c r="E48" t="s" s="22">
        <v>45</v>
      </c>
      <c r="F48" t="s" s="22">
        <v>39</v>
      </c>
      <c r="G48" s="24"/>
      <c r="H48" s="23">
        <v>1</v>
      </c>
      <c r="I48" s="23">
        <v>0</v>
      </c>
      <c r="J48" s="23">
        <f>H48*I48</f>
        <v>0</v>
      </c>
      <c r="K48" s="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.75" customHeight="1">
      <c r="A49" s="4"/>
      <c r="B49" s="24"/>
      <c r="C49" s="23">
        <v>1</v>
      </c>
      <c r="D49" s="23">
        <v>252</v>
      </c>
      <c r="E49" t="s" s="22">
        <v>43</v>
      </c>
      <c r="F49" t="s" s="22">
        <v>44</v>
      </c>
      <c r="G49" s="24"/>
      <c r="H49" s="23">
        <v>8</v>
      </c>
      <c r="I49" s="23">
        <v>0</v>
      </c>
      <c r="J49" s="23">
        <f>H49*I49</f>
        <v>0</v>
      </c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.75" customHeight="1">
      <c r="A50" s="4"/>
      <c r="B50" s="24"/>
      <c r="C50" s="23">
        <v>1</v>
      </c>
      <c r="D50" s="23">
        <v>252</v>
      </c>
      <c r="E50" t="s" s="22">
        <v>43</v>
      </c>
      <c r="F50" t="s" s="22">
        <v>51</v>
      </c>
      <c r="G50" s="24"/>
      <c r="H50" s="23">
        <v>3</v>
      </c>
      <c r="I50" s="23">
        <v>0</v>
      </c>
      <c r="J50" s="23">
        <f>H50*I50</f>
        <v>0</v>
      </c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.75" customHeight="1">
      <c r="A51" s="4"/>
      <c r="B51" s="24"/>
      <c r="C51" s="23">
        <v>1</v>
      </c>
      <c r="D51" s="23">
        <v>308</v>
      </c>
      <c r="E51" t="s" s="22">
        <v>43</v>
      </c>
      <c r="F51" t="s" s="22">
        <v>44</v>
      </c>
      <c r="G51" s="24"/>
      <c r="H51" s="23">
        <v>8</v>
      </c>
      <c r="I51" s="23">
        <v>0</v>
      </c>
      <c r="J51" s="23">
        <f>H51*I51</f>
        <v>0</v>
      </c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.75" customHeight="1">
      <c r="A52" s="4"/>
      <c r="B52" s="24"/>
      <c r="C52" s="23">
        <v>1</v>
      </c>
      <c r="D52" s="23">
        <v>240</v>
      </c>
      <c r="E52" t="s" s="22">
        <v>43</v>
      </c>
      <c r="F52" t="s" s="22">
        <v>44</v>
      </c>
      <c r="G52" s="24"/>
      <c r="H52" s="23">
        <v>20</v>
      </c>
      <c r="I52" s="23">
        <v>0</v>
      </c>
      <c r="J52" s="23">
        <f>H52*I52</f>
        <v>0</v>
      </c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.75" customHeight="1">
      <c r="A53" s="4"/>
      <c r="B53" s="24"/>
      <c r="C53" s="23">
        <v>1</v>
      </c>
      <c r="D53" s="23">
        <v>240</v>
      </c>
      <c r="E53" t="s" s="22">
        <v>43</v>
      </c>
      <c r="F53" t="s" s="22">
        <v>33</v>
      </c>
      <c r="G53" s="24"/>
      <c r="H53" s="23">
        <v>2</v>
      </c>
      <c r="I53" s="23">
        <v>0</v>
      </c>
      <c r="J53" s="23">
        <f>H53*I53</f>
        <v>0</v>
      </c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.75" customHeight="1">
      <c r="A54" s="4"/>
      <c r="B54" s="24"/>
      <c r="C54" s="23">
        <v>1</v>
      </c>
      <c r="D54" s="23">
        <v>240</v>
      </c>
      <c r="E54" t="s" s="22">
        <v>43</v>
      </c>
      <c r="F54" t="s" s="22">
        <v>51</v>
      </c>
      <c r="G54" s="24"/>
      <c r="H54" s="23">
        <v>2</v>
      </c>
      <c r="I54" s="23">
        <v>0</v>
      </c>
      <c r="J54" s="23">
        <f>H54*I54</f>
        <v>0</v>
      </c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.75" customHeight="1">
      <c r="A55" s="4"/>
      <c r="B55" s="24"/>
      <c r="C55" s="23">
        <v>1</v>
      </c>
      <c r="D55" s="23">
        <v>240</v>
      </c>
      <c r="E55" t="s" s="22">
        <v>43</v>
      </c>
      <c r="F55" t="s" s="22">
        <v>50</v>
      </c>
      <c r="G55" s="24"/>
      <c r="H55" s="23">
        <v>1</v>
      </c>
      <c r="I55" s="23">
        <v>0</v>
      </c>
      <c r="J55" s="23">
        <f>H55*I55</f>
        <v>0</v>
      </c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.75" customHeight="1">
      <c r="A56" s="4"/>
      <c r="B56" s="24"/>
      <c r="C56" s="23">
        <v>1</v>
      </c>
      <c r="D56" s="23">
        <v>240</v>
      </c>
      <c r="E56" t="s" s="22">
        <v>43</v>
      </c>
      <c r="F56" t="s" s="22">
        <v>39</v>
      </c>
      <c r="G56" s="24"/>
      <c r="H56" s="23">
        <v>1</v>
      </c>
      <c r="I56" s="23">
        <v>0</v>
      </c>
      <c r="J56" s="23">
        <f>H56*I56</f>
        <v>0</v>
      </c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.75" customHeight="1">
      <c r="A57" s="4"/>
      <c r="B57" s="24"/>
      <c r="C57" s="23">
        <v>1</v>
      </c>
      <c r="D57" s="23">
        <v>330</v>
      </c>
      <c r="E57" t="s" s="22">
        <v>52</v>
      </c>
      <c r="F57" t="s" s="22">
        <v>28</v>
      </c>
      <c r="G57" s="24"/>
      <c r="H57" s="23">
        <v>1</v>
      </c>
      <c r="I57" s="23">
        <v>0</v>
      </c>
      <c r="J57" s="23">
        <f>H57*I57</f>
        <v>0</v>
      </c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.75" customHeight="1">
      <c r="A58" s="4"/>
      <c r="B58" s="24"/>
      <c r="C58" s="23">
        <v>1</v>
      </c>
      <c r="D58" s="23">
        <v>330</v>
      </c>
      <c r="E58" t="s" s="22">
        <v>52</v>
      </c>
      <c r="F58" t="s" s="22">
        <v>53</v>
      </c>
      <c r="G58" s="24"/>
      <c r="H58" s="23">
        <v>6</v>
      </c>
      <c r="I58" s="23">
        <v>0</v>
      </c>
      <c r="J58" s="23">
        <f>H58*I58</f>
        <v>0</v>
      </c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.75" customHeight="1">
      <c r="A59" s="4"/>
      <c r="B59" s="24"/>
      <c r="C59" s="23">
        <v>1</v>
      </c>
      <c r="D59" s="23">
        <v>330</v>
      </c>
      <c r="E59" t="s" s="22">
        <v>52</v>
      </c>
      <c r="F59" t="s" s="22">
        <v>34</v>
      </c>
      <c r="G59" s="24"/>
      <c r="H59" s="23">
        <v>1</v>
      </c>
      <c r="I59" s="23">
        <v>0</v>
      </c>
      <c r="J59" s="23">
        <f>H59*I59</f>
        <v>0</v>
      </c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.75" customHeight="1">
      <c r="A60" s="4"/>
      <c r="B60" s="24"/>
      <c r="C60" s="23">
        <v>1</v>
      </c>
      <c r="D60" s="23">
        <v>330</v>
      </c>
      <c r="E60" t="s" s="22">
        <v>52</v>
      </c>
      <c r="F60" t="s" s="22">
        <v>54</v>
      </c>
      <c r="G60" s="24"/>
      <c r="H60" s="23">
        <v>6</v>
      </c>
      <c r="I60" s="23">
        <v>0</v>
      </c>
      <c r="J60" s="23">
        <f>H60*I60</f>
        <v>0</v>
      </c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.75" customHeight="1">
      <c r="A61" s="4"/>
      <c r="B61" s="24"/>
      <c r="C61" s="23">
        <v>1</v>
      </c>
      <c r="D61" s="23">
        <v>330</v>
      </c>
      <c r="E61" t="s" s="22">
        <v>52</v>
      </c>
      <c r="F61" t="s" s="22">
        <v>29</v>
      </c>
      <c r="G61" s="24"/>
      <c r="H61" s="23">
        <v>4</v>
      </c>
      <c r="I61" s="23">
        <v>0</v>
      </c>
      <c r="J61" s="23">
        <f>H61*I61</f>
        <v>0</v>
      </c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.75" customHeight="1">
      <c r="A62" s="4"/>
      <c r="B62" s="24"/>
      <c r="C62" s="23">
        <v>1</v>
      </c>
      <c r="D62" s="23">
        <v>332</v>
      </c>
      <c r="E62" t="s" s="22">
        <v>52</v>
      </c>
      <c r="F62" t="s" s="22">
        <v>55</v>
      </c>
      <c r="G62" s="24"/>
      <c r="H62" s="23">
        <v>2</v>
      </c>
      <c r="I62" s="23">
        <v>0</v>
      </c>
      <c r="J62" s="23">
        <f>H62*I62</f>
        <v>0</v>
      </c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.75" customHeight="1">
      <c r="A63" s="4"/>
      <c r="B63" s="24"/>
      <c r="C63" s="23">
        <v>1</v>
      </c>
      <c r="D63" s="23">
        <v>334</v>
      </c>
      <c r="E63" t="s" s="22">
        <v>56</v>
      </c>
      <c r="F63" t="s" s="22">
        <v>57</v>
      </c>
      <c r="G63" s="24"/>
      <c r="H63" s="23">
        <v>1</v>
      </c>
      <c r="I63" s="23">
        <v>0</v>
      </c>
      <c r="J63" s="23">
        <f>H63*I63</f>
        <v>0</v>
      </c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.75" customHeight="1">
      <c r="A64" s="4"/>
      <c r="B64" s="24"/>
      <c r="C64" s="23">
        <v>1</v>
      </c>
      <c r="D64" s="23">
        <v>325</v>
      </c>
      <c r="E64" t="s" s="22">
        <v>52</v>
      </c>
      <c r="F64" t="s" s="22">
        <v>48</v>
      </c>
      <c r="G64" s="24"/>
      <c r="H64" s="23">
        <v>2</v>
      </c>
      <c r="I64" s="23">
        <v>0</v>
      </c>
      <c r="J64" s="23">
        <f>H64*I64</f>
        <v>0</v>
      </c>
      <c r="K64" s="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.75" customHeight="1">
      <c r="A65" s="4"/>
      <c r="B65" s="24"/>
      <c r="C65" s="23">
        <v>1</v>
      </c>
      <c r="D65" s="23">
        <v>325</v>
      </c>
      <c r="E65" t="s" s="22">
        <v>52</v>
      </c>
      <c r="F65" t="s" s="22">
        <v>58</v>
      </c>
      <c r="G65" s="24"/>
      <c r="H65" s="23">
        <v>1</v>
      </c>
      <c r="I65" s="23">
        <v>0</v>
      </c>
      <c r="J65" s="23">
        <f>H65*I65</f>
        <v>0</v>
      </c>
      <c r="K65" s="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.75" customHeight="1">
      <c r="A66" s="4"/>
      <c r="B66" s="24"/>
      <c r="C66" s="23">
        <v>1</v>
      </c>
      <c r="D66" s="23">
        <v>336</v>
      </c>
      <c r="E66" t="s" s="22">
        <v>43</v>
      </c>
      <c r="F66" t="s" s="22">
        <v>44</v>
      </c>
      <c r="G66" s="24"/>
      <c r="H66" s="23">
        <v>8</v>
      </c>
      <c r="I66" s="23">
        <v>0</v>
      </c>
      <c r="J66" s="23">
        <f>H66*I66</f>
        <v>0</v>
      </c>
      <c r="K66" s="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.75" customHeight="1">
      <c r="A67" s="4"/>
      <c r="B67" s="24"/>
      <c r="C67" s="23">
        <v>1</v>
      </c>
      <c r="D67" s="23">
        <v>331</v>
      </c>
      <c r="E67" t="s" s="22">
        <v>52</v>
      </c>
      <c r="F67" t="s" s="22">
        <v>59</v>
      </c>
      <c r="G67" s="24"/>
      <c r="H67" s="23">
        <v>1</v>
      </c>
      <c r="I67" s="23">
        <v>0</v>
      </c>
      <c r="J67" s="23">
        <f>H67*I67</f>
        <v>0</v>
      </c>
      <c r="K67" s="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.75" customHeight="1">
      <c r="A68" s="4"/>
      <c r="B68" s="24"/>
      <c r="C68" s="23">
        <v>1</v>
      </c>
      <c r="D68" s="23">
        <v>331</v>
      </c>
      <c r="E68" t="s" s="22">
        <v>52</v>
      </c>
      <c r="F68" t="s" s="22">
        <v>48</v>
      </c>
      <c r="G68" s="24"/>
      <c r="H68" s="23">
        <v>2</v>
      </c>
      <c r="I68" s="23">
        <v>0</v>
      </c>
      <c r="J68" s="23">
        <f>H68*I68</f>
        <v>0</v>
      </c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.75" customHeight="1">
      <c r="A69" s="4"/>
      <c r="B69" s="24"/>
      <c r="C69" s="23">
        <v>1</v>
      </c>
      <c r="D69" s="23">
        <v>331</v>
      </c>
      <c r="E69" t="s" s="22">
        <v>52</v>
      </c>
      <c r="F69" t="s" s="22">
        <v>58</v>
      </c>
      <c r="G69" s="24"/>
      <c r="H69" s="23">
        <v>1</v>
      </c>
      <c r="I69" s="23">
        <v>0</v>
      </c>
      <c r="J69" s="23">
        <f>H69*I69</f>
        <v>0</v>
      </c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.75" customHeight="1">
      <c r="A70" s="4"/>
      <c r="B70" s="24"/>
      <c r="C70" s="23">
        <v>1</v>
      </c>
      <c r="D70" s="23">
        <v>331</v>
      </c>
      <c r="E70" t="s" s="22">
        <v>52</v>
      </c>
      <c r="F70" t="s" s="22">
        <v>39</v>
      </c>
      <c r="G70" s="24"/>
      <c r="H70" s="23">
        <v>2</v>
      </c>
      <c r="I70" s="23">
        <v>0</v>
      </c>
      <c r="J70" s="23">
        <f>H70*I70</f>
        <v>0</v>
      </c>
      <c r="K70" s="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.75" customHeight="1">
      <c r="A71" s="4"/>
      <c r="B71" s="24"/>
      <c r="C71" s="23">
        <v>1</v>
      </c>
      <c r="D71" s="23">
        <v>335</v>
      </c>
      <c r="E71" t="s" s="22">
        <v>43</v>
      </c>
      <c r="F71" t="s" s="22">
        <v>44</v>
      </c>
      <c r="G71" s="24"/>
      <c r="H71" s="23">
        <v>8</v>
      </c>
      <c r="I71" s="23">
        <v>0</v>
      </c>
      <c r="J71" s="23">
        <f>H71*I71</f>
        <v>0</v>
      </c>
      <c r="K71" s="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.75" customHeight="1">
      <c r="A72" s="4"/>
      <c r="B72" s="24"/>
      <c r="C72" s="23">
        <v>1</v>
      </c>
      <c r="D72" s="23">
        <v>339</v>
      </c>
      <c r="E72" t="s" s="22">
        <v>18</v>
      </c>
      <c r="F72" t="s" s="22">
        <v>19</v>
      </c>
      <c r="G72" s="24"/>
      <c r="H72" s="23">
        <v>1</v>
      </c>
      <c r="I72" s="23">
        <v>0</v>
      </c>
      <c r="J72" s="23">
        <f>H72*I72</f>
        <v>0</v>
      </c>
      <c r="K72" s="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.75" customHeight="1">
      <c r="A73" s="4"/>
      <c r="B73" s="24"/>
      <c r="C73" s="23">
        <v>1</v>
      </c>
      <c r="D73" s="23">
        <v>339</v>
      </c>
      <c r="E73" t="s" s="22">
        <v>18</v>
      </c>
      <c r="F73" t="s" s="22">
        <v>20</v>
      </c>
      <c r="G73" s="24"/>
      <c r="H73" s="23">
        <v>1</v>
      </c>
      <c r="I73" s="23">
        <v>0</v>
      </c>
      <c r="J73" s="23">
        <f>H73*I73</f>
        <v>0</v>
      </c>
      <c r="K73" s="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.75" customHeight="1">
      <c r="A74" s="4"/>
      <c r="B74" s="24"/>
      <c r="C74" s="23">
        <v>1</v>
      </c>
      <c r="D74" s="23">
        <v>337</v>
      </c>
      <c r="E74" t="s" s="22">
        <v>43</v>
      </c>
      <c r="F74" t="s" s="22">
        <v>44</v>
      </c>
      <c r="G74" s="24"/>
      <c r="H74" s="23">
        <v>20</v>
      </c>
      <c r="I74" s="23">
        <v>0</v>
      </c>
      <c r="J74" s="23">
        <f>H74*I74</f>
        <v>0</v>
      </c>
      <c r="K74" s="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.75" customHeight="1">
      <c r="A75" s="4"/>
      <c r="B75" s="24"/>
      <c r="C75" s="23">
        <v>1</v>
      </c>
      <c r="D75" s="23">
        <v>337</v>
      </c>
      <c r="E75" t="s" s="22">
        <v>43</v>
      </c>
      <c r="F75" t="s" s="22">
        <v>33</v>
      </c>
      <c r="G75" s="24"/>
      <c r="H75" s="23">
        <v>4</v>
      </c>
      <c r="I75" s="23">
        <v>0</v>
      </c>
      <c r="J75" s="23">
        <f>H75*I75</f>
        <v>0</v>
      </c>
      <c r="K75" s="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.75" customHeight="1">
      <c r="A76" s="4"/>
      <c r="B76" s="24"/>
      <c r="C76" s="23">
        <v>1</v>
      </c>
      <c r="D76" s="23">
        <v>337</v>
      </c>
      <c r="E76" t="s" s="22">
        <v>43</v>
      </c>
      <c r="F76" t="s" s="22">
        <v>51</v>
      </c>
      <c r="G76" s="24"/>
      <c r="H76" s="23">
        <v>3</v>
      </c>
      <c r="I76" s="23">
        <v>0</v>
      </c>
      <c r="J76" s="23">
        <f>H76*I76</f>
        <v>0</v>
      </c>
      <c r="K76" s="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.75" customHeight="1">
      <c r="A77" s="4"/>
      <c r="B77" s="24"/>
      <c r="C77" s="23">
        <v>1</v>
      </c>
      <c r="D77" s="23">
        <v>337</v>
      </c>
      <c r="E77" t="s" s="22">
        <v>43</v>
      </c>
      <c r="F77" t="s" s="22">
        <v>37</v>
      </c>
      <c r="G77" s="24"/>
      <c r="H77" s="23">
        <v>4</v>
      </c>
      <c r="I77" s="23">
        <v>0</v>
      </c>
      <c r="J77" s="23">
        <f>H77*I77</f>
        <v>0</v>
      </c>
      <c r="K77" s="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.75" customHeight="1">
      <c r="A78" s="4"/>
      <c r="B78" s="24"/>
      <c r="C78" s="23">
        <v>1</v>
      </c>
      <c r="D78" s="23">
        <v>337</v>
      </c>
      <c r="E78" t="s" s="22">
        <v>43</v>
      </c>
      <c r="F78" t="s" s="22">
        <v>50</v>
      </c>
      <c r="G78" s="24"/>
      <c r="H78" s="23">
        <v>4</v>
      </c>
      <c r="I78" s="23">
        <v>0</v>
      </c>
      <c r="J78" s="23">
        <f>H78*I78</f>
        <v>0</v>
      </c>
      <c r="K78" s="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.75" customHeight="1">
      <c r="A79" s="4"/>
      <c r="B79" s="24"/>
      <c r="C79" s="23">
        <v>1</v>
      </c>
      <c r="D79" s="23">
        <v>337</v>
      </c>
      <c r="E79" t="s" s="22">
        <v>43</v>
      </c>
      <c r="F79" t="s" s="22">
        <v>39</v>
      </c>
      <c r="G79" s="24"/>
      <c r="H79" s="23">
        <v>4</v>
      </c>
      <c r="I79" s="23">
        <v>0</v>
      </c>
      <c r="J79" s="23">
        <f>H79*I79</f>
        <v>0</v>
      </c>
      <c r="K79" s="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O37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26" customWidth="1"/>
    <col min="2" max="2" width="20.6719" style="26" customWidth="1"/>
    <col min="3" max="3" width="40.6719" style="26" customWidth="1"/>
    <col min="4" max="7" width="20.6719" style="26" customWidth="1"/>
    <col min="8" max="8" width="9.17188" style="26" customWidth="1"/>
    <col min="9" max="28" width="8.67188" style="26" customWidth="1"/>
    <col min="29" max="67" width="14.5" style="26" customWidth="1"/>
    <col min="68" max="16384" width="14.5" style="26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ht="15" customHeight="1">
      <c r="A3" s="2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ht="12.75" customHeight="1">
      <c r="A4" s="4"/>
      <c r="B4" t="s" s="5">
        <v>8</v>
      </c>
      <c r="C4" t="s" s="20">
        <v>12</v>
      </c>
      <c r="D4" t="s" s="20">
        <v>13</v>
      </c>
      <c r="E4" t="s" s="20">
        <v>14</v>
      </c>
      <c r="F4" t="s" s="20">
        <v>15</v>
      </c>
      <c r="G4" t="s" s="20">
        <v>16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ht="12.75" customHeight="1">
      <c r="A5" s="4"/>
      <c r="B5" t="s" s="22">
        <v>17</v>
      </c>
      <c r="C5" t="s" s="22">
        <v>29</v>
      </c>
      <c r="D5" t="s" s="22">
        <v>17</v>
      </c>
      <c r="E5" s="23">
        <v>8</v>
      </c>
      <c r="F5" s="23">
        <v>0</v>
      </c>
      <c r="G5" s="23">
        <f>E5*F5</f>
        <v>0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ht="15.75" customHeight="1">
      <c r="A6" s="4"/>
      <c r="B6" s="24"/>
      <c r="C6" t="s" s="22">
        <v>28</v>
      </c>
      <c r="D6" s="24"/>
      <c r="E6" s="23">
        <v>2</v>
      </c>
      <c r="F6" s="23">
        <v>0</v>
      </c>
      <c r="G6" s="23">
        <f>E6*F6</f>
        <v>0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ht="15.75" customHeight="1">
      <c r="A7" s="4"/>
      <c r="B7" s="24"/>
      <c r="C7" t="s" s="22">
        <v>41</v>
      </c>
      <c r="D7" s="24"/>
      <c r="E7" s="23">
        <v>1</v>
      </c>
      <c r="F7" s="23">
        <v>0</v>
      </c>
      <c r="G7" s="23">
        <f>E7*F7</f>
        <v>0</v>
      </c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ht="15.75" customHeight="1">
      <c r="A8" s="4"/>
      <c r="B8" s="24"/>
      <c r="C8" t="s" s="22">
        <v>55</v>
      </c>
      <c r="D8" s="24"/>
      <c r="E8" s="23">
        <v>2</v>
      </c>
      <c r="F8" s="23">
        <v>0</v>
      </c>
      <c r="G8" s="23">
        <f>E8*F8</f>
        <v>0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ht="15.75" customHeight="1">
      <c r="A9" s="4"/>
      <c r="B9" s="24"/>
      <c r="C9" t="s" s="22">
        <v>39</v>
      </c>
      <c r="D9" s="24"/>
      <c r="E9" s="23">
        <v>11</v>
      </c>
      <c r="F9" s="23">
        <v>0</v>
      </c>
      <c r="G9" s="23">
        <f>E9*F9</f>
        <v>0</v>
      </c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ht="15.75" customHeight="1">
      <c r="A10" s="4"/>
      <c r="B10" s="24"/>
      <c r="C10" t="s" s="22">
        <v>58</v>
      </c>
      <c r="D10" s="24"/>
      <c r="E10" s="23">
        <v>2</v>
      </c>
      <c r="F10" s="23">
        <v>0</v>
      </c>
      <c r="G10" s="23">
        <f>E10*F10</f>
        <v>0</v>
      </c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ht="15.75" customHeight="1">
      <c r="A11" s="4"/>
      <c r="B11" s="24"/>
      <c r="C11" t="s" s="22">
        <v>42</v>
      </c>
      <c r="D11" s="24"/>
      <c r="E11" s="23">
        <v>2</v>
      </c>
      <c r="F11" s="23">
        <v>0</v>
      </c>
      <c r="G11" s="23">
        <f>E11*F11</f>
        <v>0</v>
      </c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ht="15.75" customHeight="1">
      <c r="A12" s="4"/>
      <c r="B12" s="24"/>
      <c r="C12" t="s" s="22">
        <v>54</v>
      </c>
      <c r="D12" s="24"/>
      <c r="E12" s="23">
        <v>6</v>
      </c>
      <c r="F12" s="23">
        <v>0</v>
      </c>
      <c r="G12" s="23">
        <f>E12*F12</f>
        <v>0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ht="15.75" customHeight="1">
      <c r="A13" s="4"/>
      <c r="B13" s="24"/>
      <c r="C13" t="s" s="22">
        <v>23</v>
      </c>
      <c r="D13" s="24"/>
      <c r="E13" s="23">
        <v>22</v>
      </c>
      <c r="F13" s="23">
        <v>0</v>
      </c>
      <c r="G13" s="23">
        <f>E13*F13</f>
        <v>0</v>
      </c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ht="15.75" customHeight="1">
      <c r="A14" s="4"/>
      <c r="B14" s="24"/>
      <c r="C14" t="s" s="22">
        <v>22</v>
      </c>
      <c r="D14" s="24"/>
      <c r="E14" s="23">
        <v>1</v>
      </c>
      <c r="F14" s="23">
        <v>0</v>
      </c>
      <c r="G14" s="23">
        <f>E14*F14</f>
        <v>0</v>
      </c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ht="15.75" customHeight="1">
      <c r="A15" s="4"/>
      <c r="B15" s="24"/>
      <c r="C15" t="s" s="22">
        <v>36</v>
      </c>
      <c r="D15" s="24"/>
      <c r="E15" s="23">
        <v>1</v>
      </c>
      <c r="F15" s="23">
        <v>0</v>
      </c>
      <c r="G15" s="23">
        <f>E15*F15</f>
        <v>0</v>
      </c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ht="15.75" customHeight="1">
      <c r="A16" s="4"/>
      <c r="B16" s="24"/>
      <c r="C16" t="s" s="22">
        <v>26</v>
      </c>
      <c r="D16" s="24"/>
      <c r="E16" s="23">
        <v>1</v>
      </c>
      <c r="F16" s="23">
        <v>0</v>
      </c>
      <c r="G16" s="23">
        <f>E16*F16</f>
        <v>0</v>
      </c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ht="15.75" customHeight="1">
      <c r="A17" s="4"/>
      <c r="B17" s="24"/>
      <c r="C17" t="s" s="22">
        <v>19</v>
      </c>
      <c r="D17" s="24"/>
      <c r="E17" s="23">
        <v>3</v>
      </c>
      <c r="F17" s="23">
        <v>0</v>
      </c>
      <c r="G17" s="23">
        <f>E17*F17</f>
        <v>0</v>
      </c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ht="15.75" customHeight="1">
      <c r="A18" s="4"/>
      <c r="B18" s="24"/>
      <c r="C18" t="s" s="22">
        <v>32</v>
      </c>
      <c r="D18" s="24"/>
      <c r="E18" s="23">
        <v>2</v>
      </c>
      <c r="F18" s="23">
        <v>0</v>
      </c>
      <c r="G18" s="23">
        <f>E18*F18</f>
        <v>0</v>
      </c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ht="15.75" customHeight="1">
      <c r="A19" s="4"/>
      <c r="B19" s="24"/>
      <c r="C19" t="s" s="22">
        <v>20</v>
      </c>
      <c r="D19" s="24"/>
      <c r="E19" s="23">
        <v>5</v>
      </c>
      <c r="F19" s="23">
        <v>0</v>
      </c>
      <c r="G19" s="23">
        <f>E19*F19</f>
        <v>0</v>
      </c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ht="15.75" customHeight="1">
      <c r="A20" s="4"/>
      <c r="B20" s="24"/>
      <c r="C20" t="s" s="22">
        <v>38</v>
      </c>
      <c r="D20" s="24"/>
      <c r="E20" s="23">
        <v>16</v>
      </c>
      <c r="F20" s="23">
        <v>0</v>
      </c>
      <c r="G20" s="23">
        <f>E20*F20</f>
        <v>0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ht="15.75" customHeight="1">
      <c r="A21" s="4"/>
      <c r="B21" s="24"/>
      <c r="C21" t="s" s="22">
        <v>51</v>
      </c>
      <c r="D21" s="24"/>
      <c r="E21" s="23">
        <v>8</v>
      </c>
      <c r="F21" s="23">
        <v>0</v>
      </c>
      <c r="G21" s="23">
        <f>E21*F21</f>
        <v>0</v>
      </c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ht="15.75" customHeight="1">
      <c r="A22" s="4"/>
      <c r="B22" s="24"/>
      <c r="C22" t="s" s="22">
        <v>49</v>
      </c>
      <c r="D22" s="24"/>
      <c r="E22" s="23">
        <v>3</v>
      </c>
      <c r="F22" s="23">
        <v>0</v>
      </c>
      <c r="G22" s="23">
        <f>E22*F22</f>
        <v>0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ht="15.75" customHeight="1">
      <c r="A23" s="4"/>
      <c r="B23" s="24"/>
      <c r="C23" t="s" s="22">
        <v>50</v>
      </c>
      <c r="D23" s="24"/>
      <c r="E23" s="23">
        <v>7</v>
      </c>
      <c r="F23" s="23">
        <v>0</v>
      </c>
      <c r="G23" s="23">
        <f>E23*F23</f>
        <v>0</v>
      </c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ht="15.75" customHeight="1">
      <c r="A24" s="4"/>
      <c r="B24" s="24"/>
      <c r="C24" t="s" s="22">
        <v>34</v>
      </c>
      <c r="D24" s="24"/>
      <c r="E24" s="23">
        <v>4</v>
      </c>
      <c r="F24" s="23">
        <v>0</v>
      </c>
      <c r="G24" s="23">
        <f>E24*F24</f>
        <v>0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ht="15.75" customHeight="1">
      <c r="A25" s="4"/>
      <c r="B25" s="24"/>
      <c r="C25" t="s" s="22">
        <v>44</v>
      </c>
      <c r="D25" s="24"/>
      <c r="E25" s="23">
        <v>82</v>
      </c>
      <c r="F25" s="23">
        <v>0</v>
      </c>
      <c r="G25" s="23">
        <f>E25*F25</f>
        <v>0</v>
      </c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ht="15.75" customHeight="1">
      <c r="A26" s="4"/>
      <c r="B26" s="24"/>
      <c r="C26" t="s" s="22">
        <v>47</v>
      </c>
      <c r="D26" s="24"/>
      <c r="E26" s="23">
        <v>1</v>
      </c>
      <c r="F26" s="23">
        <v>0</v>
      </c>
      <c r="G26" s="23">
        <f>E26*F26</f>
        <v>0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ht="15.75" customHeight="1">
      <c r="A27" s="4"/>
      <c r="B27" s="24"/>
      <c r="C27" t="s" s="22">
        <v>27</v>
      </c>
      <c r="D27" s="24"/>
      <c r="E27" s="23">
        <v>1</v>
      </c>
      <c r="F27" s="23">
        <v>0</v>
      </c>
      <c r="G27" s="23">
        <f>E27*F27</f>
        <v>0</v>
      </c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ht="15.75" customHeight="1">
      <c r="A28" s="4"/>
      <c r="B28" s="24"/>
      <c r="C28" t="s" s="22">
        <v>37</v>
      </c>
      <c r="D28" s="24"/>
      <c r="E28" s="23">
        <v>14</v>
      </c>
      <c r="F28" s="23">
        <v>0</v>
      </c>
      <c r="G28" s="23">
        <f>E28*F28</f>
        <v>0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ht="15.75" customHeight="1">
      <c r="A29" s="4"/>
      <c r="B29" s="24"/>
      <c r="C29" t="s" s="22">
        <v>31</v>
      </c>
      <c r="D29" s="24"/>
      <c r="E29" s="23">
        <v>4</v>
      </c>
      <c r="F29" s="23">
        <v>0</v>
      </c>
      <c r="G29" s="23">
        <f>E29*F29</f>
        <v>0</v>
      </c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ht="15.75" customHeight="1">
      <c r="A30" s="4"/>
      <c r="B30" s="24"/>
      <c r="C30" t="s" s="22">
        <v>33</v>
      </c>
      <c r="D30" s="24"/>
      <c r="E30" s="23">
        <v>10</v>
      </c>
      <c r="F30" s="23">
        <v>0</v>
      </c>
      <c r="G30" s="23">
        <f>E30*F30</f>
        <v>0</v>
      </c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ht="15.75" customHeight="1">
      <c r="A31" s="4"/>
      <c r="B31" s="24"/>
      <c r="C31" t="s" s="22">
        <v>48</v>
      </c>
      <c r="D31" s="24"/>
      <c r="E31" s="23">
        <v>7</v>
      </c>
      <c r="F31" s="23">
        <v>0</v>
      </c>
      <c r="G31" s="23">
        <f>E31*F31</f>
        <v>0</v>
      </c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ht="15.75" customHeight="1">
      <c r="A32" s="4"/>
      <c r="B32" s="24"/>
      <c r="C32" t="s" s="22">
        <v>59</v>
      </c>
      <c r="D32" s="24"/>
      <c r="E32" s="23">
        <v>1</v>
      </c>
      <c r="F32" s="23">
        <v>0</v>
      </c>
      <c r="G32" s="23">
        <f>E32*F32</f>
        <v>0</v>
      </c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ht="15.75" customHeight="1">
      <c r="A33" s="4"/>
      <c r="B33" s="24"/>
      <c r="C33" t="s" s="25">
        <v>35</v>
      </c>
      <c r="D33" s="24"/>
      <c r="E33" s="23">
        <v>2</v>
      </c>
      <c r="F33" s="23">
        <v>0</v>
      </c>
      <c r="G33" s="23">
        <f>E33*F33</f>
        <v>0</v>
      </c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ht="15.75" customHeight="1">
      <c r="A34" s="4"/>
      <c r="B34" s="24"/>
      <c r="C34" t="s" s="22">
        <v>46</v>
      </c>
      <c r="D34" s="24"/>
      <c r="E34" s="23">
        <v>2</v>
      </c>
      <c r="F34" s="23">
        <v>0</v>
      </c>
      <c r="G34" s="23">
        <f>E34*F34</f>
        <v>0</v>
      </c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ht="15.75" customHeight="1">
      <c r="A35" s="4"/>
      <c r="B35" s="24"/>
      <c r="C35" t="s" s="22">
        <v>53</v>
      </c>
      <c r="D35" s="24"/>
      <c r="E35" s="23">
        <v>6</v>
      </c>
      <c r="F35" s="23">
        <v>0</v>
      </c>
      <c r="G35" s="23">
        <f>E35*F35</f>
        <v>0</v>
      </c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ht="15.75" customHeight="1">
      <c r="A36" s="4"/>
      <c r="B36" s="24"/>
      <c r="C36" t="s" s="22">
        <v>24</v>
      </c>
      <c r="D36" s="24"/>
      <c r="E36" s="23">
        <v>2</v>
      </c>
      <c r="F36" s="23">
        <v>0</v>
      </c>
      <c r="G36" s="23">
        <f>E36*F36</f>
        <v>0</v>
      </c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ht="15.75" customHeight="1">
      <c r="A37" s="4"/>
      <c r="B37" s="24"/>
      <c r="C37" t="s" s="22">
        <v>57</v>
      </c>
      <c r="D37" s="24"/>
      <c r="E37" s="23">
        <v>1</v>
      </c>
      <c r="F37" s="23">
        <v>0</v>
      </c>
      <c r="G37" s="23">
        <f>E37*F37</f>
        <v>0</v>
      </c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Z78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27" customWidth="1"/>
    <col min="2" max="2" width="70" style="27" customWidth="1"/>
    <col min="3" max="14" width="28.6719" style="27" customWidth="1"/>
    <col min="15" max="26" width="14.5" style="27" customWidth="1"/>
    <col min="27" max="16384" width="14.5" style="27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4"/>
      <c r="B4" t="s" s="5">
        <v>60</v>
      </c>
      <c r="C4" t="s" s="5">
        <v>9</v>
      </c>
      <c r="D4" t="s" s="5">
        <v>61</v>
      </c>
      <c r="E4" t="s" s="5">
        <v>62</v>
      </c>
      <c r="F4" t="s" s="5">
        <v>63</v>
      </c>
      <c r="G4" t="s" s="5">
        <v>10</v>
      </c>
      <c r="H4" t="s" s="5">
        <v>64</v>
      </c>
      <c r="I4" t="s" s="5">
        <v>65</v>
      </c>
      <c r="J4" t="s" s="5">
        <v>66</v>
      </c>
      <c r="K4" t="s" s="5">
        <v>67</v>
      </c>
      <c r="L4" t="s" s="5">
        <v>68</v>
      </c>
      <c r="M4" t="s" s="5">
        <v>69</v>
      </c>
      <c r="N4" t="s" s="5">
        <v>70</v>
      </c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0" customHeight="1">
      <c r="A5" s="4"/>
      <c r="B5" s="28"/>
      <c r="C5" s="29">
        <v>1</v>
      </c>
      <c r="D5" t="s" s="30">
        <v>71</v>
      </c>
      <c r="E5" t="s" s="30">
        <v>18</v>
      </c>
      <c r="F5" t="s" s="30">
        <v>72</v>
      </c>
      <c r="G5" s="29">
        <v>186</v>
      </c>
      <c r="H5" t="s" s="30">
        <v>73</v>
      </c>
      <c r="I5" s="29">
        <v>1</v>
      </c>
      <c r="J5" s="29">
        <v>12.58</v>
      </c>
      <c r="K5" s="31">
        <v>135.3608</v>
      </c>
      <c r="L5" t="s" s="30">
        <v>74</v>
      </c>
      <c r="M5" t="s" s="30">
        <v>1</v>
      </c>
      <c r="N5" t="s" s="30">
        <v>75</v>
      </c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0" customHeight="1">
      <c r="A6" s="4"/>
      <c r="B6" s="28"/>
      <c r="C6" s="29">
        <v>1</v>
      </c>
      <c r="D6" t="s" s="30">
        <v>71</v>
      </c>
      <c r="E6" t="s" s="30">
        <v>76</v>
      </c>
      <c r="F6" t="s" s="30">
        <v>77</v>
      </c>
      <c r="G6" s="29">
        <v>227</v>
      </c>
      <c r="H6" t="s" s="30">
        <v>78</v>
      </c>
      <c r="I6" s="29">
        <v>0</v>
      </c>
      <c r="J6" s="29">
        <v>4.79</v>
      </c>
      <c r="K6" s="31">
        <v>51.5404</v>
      </c>
      <c r="L6" t="s" s="30">
        <v>74</v>
      </c>
      <c r="M6" t="s" s="30">
        <v>1</v>
      </c>
      <c r="N6" s="32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0" customHeight="1">
      <c r="A7" s="4"/>
      <c r="B7" s="28"/>
      <c r="C7" s="29">
        <v>1</v>
      </c>
      <c r="D7" t="s" s="30">
        <v>71</v>
      </c>
      <c r="E7" t="s" s="30">
        <v>21</v>
      </c>
      <c r="F7" t="s" s="30">
        <v>79</v>
      </c>
      <c r="G7" s="29">
        <v>133</v>
      </c>
      <c r="H7" t="s" s="30">
        <v>80</v>
      </c>
      <c r="I7" s="29">
        <v>10</v>
      </c>
      <c r="J7" s="29">
        <v>25.53</v>
      </c>
      <c r="K7" s="31">
        <v>274.7028</v>
      </c>
      <c r="L7" t="s" s="30">
        <v>74</v>
      </c>
      <c r="M7" t="s" s="30">
        <v>1</v>
      </c>
      <c r="N7" t="s" s="30">
        <v>81</v>
      </c>
      <c r="O7" s="7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0" customHeight="1">
      <c r="A8" s="4"/>
      <c r="B8" s="28"/>
      <c r="C8" s="29">
        <v>1</v>
      </c>
      <c r="D8" t="s" s="30">
        <v>71</v>
      </c>
      <c r="E8" t="s" s="30">
        <v>40</v>
      </c>
      <c r="F8" t="s" s="30">
        <v>82</v>
      </c>
      <c r="G8" s="29">
        <v>229</v>
      </c>
      <c r="H8" t="s" s="30">
        <v>83</v>
      </c>
      <c r="I8" s="29">
        <v>0</v>
      </c>
      <c r="J8" s="29">
        <v>4.9</v>
      </c>
      <c r="K8" s="31">
        <v>52.724</v>
      </c>
      <c r="L8" t="s" s="30">
        <v>74</v>
      </c>
      <c r="M8" t="s" s="30">
        <v>1</v>
      </c>
      <c r="N8" s="32"/>
      <c r="O8" s="7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0" customHeight="1">
      <c r="A9" s="4"/>
      <c r="B9" s="28"/>
      <c r="C9" s="29">
        <v>1</v>
      </c>
      <c r="D9" t="s" s="30">
        <v>71</v>
      </c>
      <c r="E9" t="s" s="30">
        <v>21</v>
      </c>
      <c r="F9" t="s" s="30">
        <v>84</v>
      </c>
      <c r="G9" s="29">
        <v>283</v>
      </c>
      <c r="H9" t="s" s="30">
        <v>85</v>
      </c>
      <c r="I9" s="29">
        <v>1</v>
      </c>
      <c r="J9" s="29">
        <v>6.83</v>
      </c>
      <c r="K9" s="31">
        <v>73.49079999999999</v>
      </c>
      <c r="L9" t="s" s="30">
        <v>74</v>
      </c>
      <c r="M9" t="s" s="30">
        <v>1</v>
      </c>
      <c r="N9" t="s" s="30">
        <v>86</v>
      </c>
      <c r="O9" s="7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0" customHeight="1">
      <c r="A10" s="4"/>
      <c r="B10" s="28"/>
      <c r="C10" s="29">
        <v>1</v>
      </c>
      <c r="D10" t="s" s="30">
        <v>71</v>
      </c>
      <c r="E10" t="s" s="30">
        <v>21</v>
      </c>
      <c r="F10" t="s" s="30">
        <v>84</v>
      </c>
      <c r="G10" s="29">
        <v>284</v>
      </c>
      <c r="H10" t="s" s="30">
        <v>85</v>
      </c>
      <c r="I10" s="29">
        <v>1</v>
      </c>
      <c r="J10" s="29">
        <v>6.83</v>
      </c>
      <c r="K10" s="31">
        <v>73.49079999999999</v>
      </c>
      <c r="L10" t="s" s="30">
        <v>74</v>
      </c>
      <c r="M10" t="s" s="30">
        <v>1</v>
      </c>
      <c r="N10" t="s" s="30">
        <v>86</v>
      </c>
      <c r="O10" s="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0" customHeight="1">
      <c r="A11" s="4"/>
      <c r="B11" s="28"/>
      <c r="C11" s="29">
        <v>1</v>
      </c>
      <c r="D11" t="s" s="30">
        <v>71</v>
      </c>
      <c r="E11" t="s" s="30">
        <v>25</v>
      </c>
      <c r="F11" t="s" s="30">
        <v>87</v>
      </c>
      <c r="G11" s="29">
        <v>286</v>
      </c>
      <c r="H11" t="s" s="30">
        <v>88</v>
      </c>
      <c r="I11" s="29">
        <v>4</v>
      </c>
      <c r="J11" s="29">
        <v>17.3</v>
      </c>
      <c r="K11" s="31">
        <v>186.148</v>
      </c>
      <c r="L11" t="s" s="30">
        <v>89</v>
      </c>
      <c r="M11" t="s" s="30">
        <v>90</v>
      </c>
      <c r="N11" t="s" s="30">
        <v>91</v>
      </c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0" customHeight="1">
      <c r="A12" s="4"/>
      <c r="B12" s="28"/>
      <c r="C12" s="29">
        <v>1</v>
      </c>
      <c r="D12" t="s" s="30">
        <v>71</v>
      </c>
      <c r="E12" t="s" s="30">
        <v>30</v>
      </c>
      <c r="F12" t="s" s="30">
        <v>92</v>
      </c>
      <c r="G12" s="29">
        <v>279</v>
      </c>
      <c r="H12" t="s" s="30">
        <v>93</v>
      </c>
      <c r="I12" s="29">
        <v>1</v>
      </c>
      <c r="J12" s="29">
        <v>23.22</v>
      </c>
      <c r="K12" s="31">
        <v>249.8472</v>
      </c>
      <c r="L12" t="s" s="30">
        <v>74</v>
      </c>
      <c r="M12" t="s" s="30">
        <v>1</v>
      </c>
      <c r="N12" t="s" s="30">
        <v>94</v>
      </c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0" customHeight="1">
      <c r="A13" s="4"/>
      <c r="B13" s="28"/>
      <c r="C13" s="29">
        <v>1</v>
      </c>
      <c r="D13" t="s" s="30">
        <v>71</v>
      </c>
      <c r="E13" t="s" s="30">
        <v>18</v>
      </c>
      <c r="F13" t="s" s="30">
        <v>72</v>
      </c>
      <c r="G13" s="29">
        <v>254</v>
      </c>
      <c r="H13" t="s" s="30">
        <v>73</v>
      </c>
      <c r="I13" s="29">
        <v>1</v>
      </c>
      <c r="J13" s="29">
        <v>10.47</v>
      </c>
      <c r="K13" s="31">
        <v>112.6572</v>
      </c>
      <c r="L13" t="s" s="30">
        <v>74</v>
      </c>
      <c r="M13" t="s" s="30">
        <v>1</v>
      </c>
      <c r="N13" t="s" s="30">
        <v>75</v>
      </c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0" customHeight="1">
      <c r="A14" s="4"/>
      <c r="B14" s="28"/>
      <c r="C14" s="29">
        <v>1</v>
      </c>
      <c r="D14" t="s" s="30">
        <v>71</v>
      </c>
      <c r="E14" t="s" s="30">
        <v>21</v>
      </c>
      <c r="F14" t="s" s="30">
        <v>79</v>
      </c>
      <c r="G14" s="29">
        <v>207</v>
      </c>
      <c r="H14" t="s" s="30">
        <v>95</v>
      </c>
      <c r="I14" s="29">
        <v>12</v>
      </c>
      <c r="J14" s="29">
        <v>26.22</v>
      </c>
      <c r="K14" s="31">
        <v>282.1272</v>
      </c>
      <c r="L14" t="s" s="30">
        <v>74</v>
      </c>
      <c r="M14" t="s" s="30">
        <v>1</v>
      </c>
      <c r="N14" t="s" s="30">
        <v>96</v>
      </c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0" customHeight="1">
      <c r="A15" s="4"/>
      <c r="B15" s="28"/>
      <c r="C15" s="29">
        <v>1</v>
      </c>
      <c r="D15" t="s" s="30">
        <v>71</v>
      </c>
      <c r="E15" t="s" s="30">
        <v>25</v>
      </c>
      <c r="F15" t="s" s="30">
        <v>87</v>
      </c>
      <c r="G15" s="29">
        <v>289</v>
      </c>
      <c r="H15" t="s" s="30">
        <v>88</v>
      </c>
      <c r="I15" s="29">
        <v>16</v>
      </c>
      <c r="J15" s="29">
        <v>27.72</v>
      </c>
      <c r="K15" s="31">
        <v>298.2672</v>
      </c>
      <c r="L15" t="s" s="30">
        <v>89</v>
      </c>
      <c r="M15" t="s" s="30">
        <v>90</v>
      </c>
      <c r="N15" t="s" s="30">
        <v>97</v>
      </c>
      <c r="O15" s="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0" customHeight="1">
      <c r="A16" s="4"/>
      <c r="B16" s="28"/>
      <c r="C16" s="29">
        <v>1</v>
      </c>
      <c r="D16" t="s" s="30">
        <v>71</v>
      </c>
      <c r="E16" t="s" s="30">
        <v>40</v>
      </c>
      <c r="F16" t="s" s="30">
        <v>98</v>
      </c>
      <c r="G16" s="29">
        <v>293</v>
      </c>
      <c r="H16" t="s" s="30">
        <v>99</v>
      </c>
      <c r="I16" s="29">
        <v>0</v>
      </c>
      <c r="J16" s="29">
        <v>8.65</v>
      </c>
      <c r="K16" s="31">
        <v>93.074</v>
      </c>
      <c r="L16" t="s" s="30">
        <v>74</v>
      </c>
      <c r="M16" t="s" s="30">
        <v>1</v>
      </c>
      <c r="N16" t="s" s="30">
        <v>100</v>
      </c>
      <c r="O16" s="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0" customHeight="1">
      <c r="A17" s="4"/>
      <c r="B17" s="28"/>
      <c r="C17" s="29">
        <v>1</v>
      </c>
      <c r="D17" t="s" s="30">
        <v>71</v>
      </c>
      <c r="E17" t="s" s="30">
        <v>21</v>
      </c>
      <c r="F17" t="s" s="30">
        <v>84</v>
      </c>
      <c r="G17" s="29">
        <v>298</v>
      </c>
      <c r="H17" t="s" s="30">
        <v>85</v>
      </c>
      <c r="I17" s="29">
        <v>0</v>
      </c>
      <c r="J17" s="29">
        <v>6.85</v>
      </c>
      <c r="K17" s="31">
        <v>73.706</v>
      </c>
      <c r="L17" t="s" s="30">
        <v>74</v>
      </c>
      <c r="M17" t="s" s="30">
        <v>1</v>
      </c>
      <c r="N17" t="s" s="30">
        <v>101</v>
      </c>
      <c r="O17" s="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0" customHeight="1">
      <c r="A18" s="4"/>
      <c r="B18" s="28"/>
      <c r="C18" s="29">
        <v>1</v>
      </c>
      <c r="D18" t="s" s="30">
        <v>71</v>
      </c>
      <c r="E18" t="s" s="30">
        <v>21</v>
      </c>
      <c r="F18" t="s" s="30">
        <v>84</v>
      </c>
      <c r="G18" s="29">
        <v>299</v>
      </c>
      <c r="H18" t="s" s="30">
        <v>85</v>
      </c>
      <c r="I18" s="29">
        <v>0</v>
      </c>
      <c r="J18" s="29">
        <v>6.84</v>
      </c>
      <c r="K18" s="31">
        <v>73.5984</v>
      </c>
      <c r="L18" t="s" s="30">
        <v>74</v>
      </c>
      <c r="M18" t="s" s="30">
        <v>1</v>
      </c>
      <c r="N18" t="s" s="30">
        <v>101</v>
      </c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0" customHeight="1">
      <c r="A19" s="4"/>
      <c r="B19" s="28"/>
      <c r="C19" s="29">
        <v>1</v>
      </c>
      <c r="D19" t="s" s="30">
        <v>71</v>
      </c>
      <c r="E19" t="s" s="30">
        <v>43</v>
      </c>
      <c r="F19" t="s" s="30">
        <v>102</v>
      </c>
      <c r="G19" s="29">
        <v>149</v>
      </c>
      <c r="H19" t="s" s="30">
        <v>102</v>
      </c>
      <c r="I19" s="29">
        <v>10</v>
      </c>
      <c r="J19" s="29">
        <v>31.61</v>
      </c>
      <c r="K19" s="31">
        <v>340.1236</v>
      </c>
      <c r="L19" t="s" s="30">
        <v>89</v>
      </c>
      <c r="M19" t="s" s="30">
        <v>1</v>
      </c>
      <c r="N19" t="s" s="30">
        <v>103</v>
      </c>
      <c r="O19" s="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0" customHeight="1">
      <c r="A20" s="4"/>
      <c r="B20" s="28"/>
      <c r="C20" s="29">
        <v>1</v>
      </c>
      <c r="D20" t="s" s="30">
        <v>71</v>
      </c>
      <c r="E20" t="s" s="30">
        <v>104</v>
      </c>
      <c r="F20" t="s" s="30">
        <v>82</v>
      </c>
      <c r="G20" s="29">
        <v>314</v>
      </c>
      <c r="H20" t="s" s="30">
        <v>82</v>
      </c>
      <c r="I20" s="29">
        <v>0</v>
      </c>
      <c r="J20" s="29">
        <v>8.66</v>
      </c>
      <c r="K20" s="31">
        <v>93.1816</v>
      </c>
      <c r="L20" t="s" s="30">
        <v>74</v>
      </c>
      <c r="M20" t="s" s="30">
        <v>1</v>
      </c>
      <c r="N20" s="32"/>
      <c r="O20" s="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0" customHeight="1">
      <c r="A21" s="4"/>
      <c r="B21" s="28"/>
      <c r="C21" s="29">
        <v>1</v>
      </c>
      <c r="D21" t="s" s="30">
        <v>71</v>
      </c>
      <c r="E21" t="s" s="30">
        <v>30</v>
      </c>
      <c r="F21" t="s" s="30">
        <v>92</v>
      </c>
      <c r="G21" s="29">
        <v>302</v>
      </c>
      <c r="H21" t="s" s="30">
        <v>93</v>
      </c>
      <c r="I21" s="29">
        <v>1</v>
      </c>
      <c r="J21" s="29">
        <v>23.25</v>
      </c>
      <c r="K21" s="31">
        <v>250.17</v>
      </c>
      <c r="L21" t="s" s="30">
        <v>74</v>
      </c>
      <c r="M21" t="s" s="30">
        <v>1</v>
      </c>
      <c r="N21" t="s" s="30">
        <v>105</v>
      </c>
      <c r="O21" s="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0" customHeight="1">
      <c r="A22" s="4"/>
      <c r="B22" s="28"/>
      <c r="C22" s="29">
        <v>1</v>
      </c>
      <c r="D22" t="s" s="30">
        <v>71</v>
      </c>
      <c r="E22" t="s" s="30">
        <v>45</v>
      </c>
      <c r="F22" t="s" s="30">
        <v>106</v>
      </c>
      <c r="G22" s="29">
        <v>132</v>
      </c>
      <c r="H22" t="s" s="30">
        <v>107</v>
      </c>
      <c r="I22" s="29">
        <v>5</v>
      </c>
      <c r="J22" s="29">
        <v>25.39</v>
      </c>
      <c r="K22" s="31">
        <v>273.1964</v>
      </c>
      <c r="L22" t="s" s="30">
        <v>89</v>
      </c>
      <c r="M22" t="s" s="30">
        <v>90</v>
      </c>
      <c r="N22" t="s" s="30">
        <v>108</v>
      </c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0" customHeight="1">
      <c r="A23" s="4"/>
      <c r="B23" s="28"/>
      <c r="C23" s="29">
        <v>1</v>
      </c>
      <c r="D23" t="s" s="30">
        <v>71</v>
      </c>
      <c r="E23" t="s" s="30">
        <v>43</v>
      </c>
      <c r="F23" t="s" s="30">
        <v>102</v>
      </c>
      <c r="G23" s="29">
        <v>252</v>
      </c>
      <c r="H23" t="s" s="30">
        <v>102</v>
      </c>
      <c r="I23" s="29">
        <v>8</v>
      </c>
      <c r="J23" s="29">
        <v>26.29</v>
      </c>
      <c r="K23" s="31">
        <v>282.8804</v>
      </c>
      <c r="L23" t="s" s="30">
        <v>89</v>
      </c>
      <c r="M23" t="s" s="30">
        <v>1</v>
      </c>
      <c r="N23" t="s" s="30">
        <v>109</v>
      </c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0" customHeight="1">
      <c r="A24" s="4"/>
      <c r="B24" s="28"/>
      <c r="C24" s="29">
        <v>1</v>
      </c>
      <c r="D24" t="s" s="30">
        <v>71</v>
      </c>
      <c r="E24" t="s" s="30">
        <v>43</v>
      </c>
      <c r="F24" t="s" s="30">
        <v>102</v>
      </c>
      <c r="G24" s="29">
        <v>308</v>
      </c>
      <c r="H24" t="s" s="30">
        <v>102</v>
      </c>
      <c r="I24" s="29">
        <v>8</v>
      </c>
      <c r="J24" s="29">
        <v>26.31</v>
      </c>
      <c r="K24" s="31">
        <v>283.0956</v>
      </c>
      <c r="L24" t="s" s="30">
        <v>89</v>
      </c>
      <c r="M24" t="s" s="30">
        <v>1</v>
      </c>
      <c r="N24" t="s" s="30">
        <v>110</v>
      </c>
      <c r="O24" s="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0" customHeight="1">
      <c r="A25" s="4"/>
      <c r="B25" s="28"/>
      <c r="C25" s="29">
        <v>1</v>
      </c>
      <c r="D25" t="s" s="30">
        <v>71</v>
      </c>
      <c r="E25" t="s" s="30">
        <v>43</v>
      </c>
      <c r="F25" t="s" s="30">
        <v>102</v>
      </c>
      <c r="G25" s="29">
        <v>240</v>
      </c>
      <c r="H25" t="s" s="30">
        <v>102</v>
      </c>
      <c r="I25" s="29">
        <v>20</v>
      </c>
      <c r="J25" s="29">
        <v>73.48999999999999</v>
      </c>
      <c r="K25" s="31">
        <v>790.7524</v>
      </c>
      <c r="L25" t="s" s="30">
        <v>89</v>
      </c>
      <c r="M25" t="s" s="30">
        <v>1</v>
      </c>
      <c r="N25" t="s" s="30">
        <v>111</v>
      </c>
      <c r="O25" s="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0" customHeight="1">
      <c r="A26" s="4"/>
      <c r="B26" s="28"/>
      <c r="C26" s="29">
        <v>1</v>
      </c>
      <c r="D26" t="s" s="30">
        <v>71</v>
      </c>
      <c r="E26" t="s" s="30">
        <v>52</v>
      </c>
      <c r="F26" t="s" s="30">
        <v>112</v>
      </c>
      <c r="G26" s="29">
        <v>330</v>
      </c>
      <c r="H26" t="s" s="30">
        <v>113</v>
      </c>
      <c r="I26" s="29">
        <v>10</v>
      </c>
      <c r="J26" s="29">
        <v>33.53</v>
      </c>
      <c r="K26" s="31">
        <v>360.7828</v>
      </c>
      <c r="L26" t="s" s="30">
        <v>89</v>
      </c>
      <c r="M26" t="s" s="30">
        <v>1</v>
      </c>
      <c r="N26" t="s" s="30">
        <v>114</v>
      </c>
      <c r="O26" s="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0" customHeight="1">
      <c r="A27" s="4"/>
      <c r="B27" s="28"/>
      <c r="C27" s="29">
        <v>1</v>
      </c>
      <c r="D27" t="s" s="30">
        <v>71</v>
      </c>
      <c r="E27" t="s" s="30">
        <v>52</v>
      </c>
      <c r="F27" t="s" s="30">
        <v>112</v>
      </c>
      <c r="G27" s="29">
        <v>332</v>
      </c>
      <c r="H27" t="s" s="30">
        <v>113</v>
      </c>
      <c r="I27" s="29">
        <v>2</v>
      </c>
      <c r="J27" s="29">
        <v>2.9</v>
      </c>
      <c r="K27" s="31">
        <v>31.204</v>
      </c>
      <c r="L27" t="s" s="30">
        <v>89</v>
      </c>
      <c r="M27" t="s" s="30">
        <v>1</v>
      </c>
      <c r="N27" t="s" s="30">
        <v>115</v>
      </c>
      <c r="O27" s="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0" customHeight="1">
      <c r="A28" s="4"/>
      <c r="B28" s="28"/>
      <c r="C28" s="29">
        <v>1</v>
      </c>
      <c r="D28" t="s" s="30">
        <v>71</v>
      </c>
      <c r="E28" t="s" s="30">
        <v>56</v>
      </c>
      <c r="F28" t="s" s="30">
        <v>116</v>
      </c>
      <c r="G28" s="29">
        <v>334</v>
      </c>
      <c r="H28" t="s" s="30">
        <v>117</v>
      </c>
      <c r="I28" s="29">
        <v>0</v>
      </c>
      <c r="J28" s="29">
        <v>2.16</v>
      </c>
      <c r="K28" s="31">
        <v>23.2416</v>
      </c>
      <c r="L28" t="s" s="30">
        <v>89</v>
      </c>
      <c r="M28" t="s" s="30">
        <v>1</v>
      </c>
      <c r="N28" t="s" s="30">
        <v>118</v>
      </c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0" customHeight="1">
      <c r="A29" s="4"/>
      <c r="B29" s="28"/>
      <c r="C29" s="29">
        <v>1</v>
      </c>
      <c r="D29" t="s" s="30">
        <v>71</v>
      </c>
      <c r="E29" t="s" s="30">
        <v>52</v>
      </c>
      <c r="F29" t="s" s="30">
        <v>112</v>
      </c>
      <c r="G29" s="29">
        <v>325</v>
      </c>
      <c r="H29" t="s" s="30">
        <v>113</v>
      </c>
      <c r="I29" s="29">
        <v>2</v>
      </c>
      <c r="J29" s="29">
        <v>12.39</v>
      </c>
      <c r="K29" s="31">
        <v>133.3164</v>
      </c>
      <c r="L29" t="s" s="30">
        <v>89</v>
      </c>
      <c r="M29" t="s" s="30">
        <v>1</v>
      </c>
      <c r="N29" t="s" s="30">
        <v>119</v>
      </c>
      <c r="O29" s="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0" customHeight="1">
      <c r="A30" s="4"/>
      <c r="B30" s="28"/>
      <c r="C30" s="29">
        <v>1</v>
      </c>
      <c r="D30" t="s" s="30">
        <v>71</v>
      </c>
      <c r="E30" t="s" s="30">
        <v>43</v>
      </c>
      <c r="F30" t="s" s="30">
        <v>102</v>
      </c>
      <c r="G30" s="29">
        <v>336</v>
      </c>
      <c r="H30" t="s" s="30">
        <v>102</v>
      </c>
      <c r="I30" s="29">
        <v>8</v>
      </c>
      <c r="J30" s="29">
        <v>27.72</v>
      </c>
      <c r="K30" s="31">
        <v>298.2672</v>
      </c>
      <c r="L30" t="s" s="30">
        <v>89</v>
      </c>
      <c r="M30" t="s" s="30">
        <v>1</v>
      </c>
      <c r="N30" t="s" s="30">
        <v>110</v>
      </c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0" customHeight="1">
      <c r="A31" s="4"/>
      <c r="B31" s="28"/>
      <c r="C31" s="29">
        <v>1</v>
      </c>
      <c r="D31" t="s" s="30">
        <v>71</v>
      </c>
      <c r="E31" t="s" s="30">
        <v>52</v>
      </c>
      <c r="F31" t="s" s="30">
        <v>112</v>
      </c>
      <c r="G31" s="29">
        <v>331</v>
      </c>
      <c r="H31" t="s" s="30">
        <v>113</v>
      </c>
      <c r="I31" s="29">
        <v>5</v>
      </c>
      <c r="J31" s="29">
        <v>15.53</v>
      </c>
      <c r="K31" s="31">
        <v>167.1028</v>
      </c>
      <c r="L31" t="s" s="30">
        <v>89</v>
      </c>
      <c r="M31" t="s" s="30">
        <v>1</v>
      </c>
      <c r="N31" t="s" s="30">
        <v>120</v>
      </c>
      <c r="O31" s="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0" customHeight="1">
      <c r="A32" s="4"/>
      <c r="B32" s="28"/>
      <c r="C32" s="29">
        <v>1</v>
      </c>
      <c r="D32" t="s" s="30">
        <v>71</v>
      </c>
      <c r="E32" t="s" s="30">
        <v>43</v>
      </c>
      <c r="F32" t="s" s="30">
        <v>102</v>
      </c>
      <c r="G32" s="29">
        <v>335</v>
      </c>
      <c r="H32" t="s" s="30">
        <v>102</v>
      </c>
      <c r="I32" s="29">
        <v>8</v>
      </c>
      <c r="J32" s="29">
        <v>28.06</v>
      </c>
      <c r="K32" s="31">
        <v>301.9256</v>
      </c>
      <c r="L32" t="s" s="30">
        <v>89</v>
      </c>
      <c r="M32" t="s" s="30">
        <v>1</v>
      </c>
      <c r="N32" t="s" s="30">
        <v>110</v>
      </c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0" customHeight="1">
      <c r="A33" s="4"/>
      <c r="B33" s="28"/>
      <c r="C33" s="29">
        <v>1</v>
      </c>
      <c r="D33" t="s" s="30">
        <v>71</v>
      </c>
      <c r="E33" t="s" s="30">
        <v>18</v>
      </c>
      <c r="F33" t="s" s="30">
        <v>72</v>
      </c>
      <c r="G33" s="29">
        <v>339</v>
      </c>
      <c r="H33" t="s" s="30">
        <v>73</v>
      </c>
      <c r="I33" s="29">
        <v>1</v>
      </c>
      <c r="J33" s="29">
        <v>12.58</v>
      </c>
      <c r="K33" s="31">
        <v>135.3608</v>
      </c>
      <c r="L33" t="s" s="30">
        <v>74</v>
      </c>
      <c r="M33" t="s" s="30">
        <v>1</v>
      </c>
      <c r="N33" t="s" s="30">
        <v>75</v>
      </c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0" customHeight="1">
      <c r="A34" s="4"/>
      <c r="B34" s="28"/>
      <c r="C34" s="29">
        <v>1</v>
      </c>
      <c r="D34" t="s" s="30">
        <v>71</v>
      </c>
      <c r="E34" t="s" s="30">
        <v>43</v>
      </c>
      <c r="F34" t="s" s="30">
        <v>102</v>
      </c>
      <c r="G34" s="29">
        <v>337</v>
      </c>
      <c r="H34" t="s" s="30">
        <v>102</v>
      </c>
      <c r="I34" s="29">
        <v>20</v>
      </c>
      <c r="J34" s="29">
        <v>75.7</v>
      </c>
      <c r="K34" s="31">
        <v>814.532</v>
      </c>
      <c r="L34" t="s" s="30">
        <v>89</v>
      </c>
      <c r="M34" t="s" s="30">
        <v>1</v>
      </c>
      <c r="N34" t="s" s="30">
        <v>121</v>
      </c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0" customHeight="1">
      <c r="A35" s="4"/>
      <c r="B35" s="33"/>
      <c r="C35" s="34">
        <v>1</v>
      </c>
      <c r="D35" t="s" s="35">
        <v>122</v>
      </c>
      <c r="E35" t="s" s="35">
        <v>123</v>
      </c>
      <c r="F35" t="s" s="35">
        <v>122</v>
      </c>
      <c r="G35" s="34">
        <v>0</v>
      </c>
      <c r="H35" t="s" s="35">
        <v>122</v>
      </c>
      <c r="I35" s="34">
        <v>0</v>
      </c>
      <c r="J35" s="34">
        <v>173.7</v>
      </c>
      <c r="K35" s="36">
        <v>1869</v>
      </c>
      <c r="L35" t="s" s="35">
        <v>89</v>
      </c>
      <c r="M35" t="s" s="35">
        <v>1</v>
      </c>
      <c r="N35" t="s" s="35">
        <v>122</v>
      </c>
      <c r="O35" t="s" s="37">
        <v>122</v>
      </c>
      <c r="P35" t="s" s="38">
        <v>122</v>
      </c>
      <c r="Q35" t="s" s="39">
        <v>122</v>
      </c>
      <c r="R35" t="s" s="39">
        <v>122</v>
      </c>
      <c r="S35" t="s" s="39">
        <v>122</v>
      </c>
      <c r="T35" t="s" s="39">
        <v>122</v>
      </c>
      <c r="U35" t="s" s="39">
        <v>122</v>
      </c>
      <c r="V35" t="s" s="39">
        <v>122</v>
      </c>
      <c r="W35" t="s" s="39">
        <v>122</v>
      </c>
      <c r="X35" t="s" s="39">
        <v>122</v>
      </c>
      <c r="Y35" t="s" s="39">
        <v>122</v>
      </c>
      <c r="Z35" t="s" s="40">
        <v>122</v>
      </c>
    </row>
    <row r="36" ht="20.25" customHeight="1">
      <c r="A36" s="2"/>
      <c r="B36" s="41"/>
      <c r="C36" s="42"/>
      <c r="D36" s="42"/>
      <c r="E36" s="42"/>
      <c r="F36" s="42"/>
      <c r="G36" s="42"/>
      <c r="H36" s="42"/>
      <c r="I36" s="42"/>
      <c r="J36" s="42"/>
      <c r="K36" s="43"/>
      <c r="L36" s="42"/>
      <c r="M36" s="42"/>
      <c r="N36" s="4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2"/>
      <c r="B37" s="41"/>
      <c r="C37" s="42"/>
      <c r="D37" s="42"/>
      <c r="E37" s="42"/>
      <c r="F37" s="42"/>
      <c r="G37" s="42"/>
      <c r="H37" s="42"/>
      <c r="I37" s="42"/>
      <c r="J37" s="42"/>
      <c r="K37" s="43"/>
      <c r="L37" s="42"/>
      <c r="M37" s="42"/>
      <c r="N37" s="4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2"/>
      <c r="B38" s="41"/>
      <c r="C38" s="42"/>
      <c r="D38" s="42"/>
      <c r="E38" s="42"/>
      <c r="F38" s="42"/>
      <c r="G38" s="42"/>
      <c r="H38" s="42"/>
      <c r="I38" s="42"/>
      <c r="J38" s="42"/>
      <c r="K38" s="43"/>
      <c r="L38" s="42"/>
      <c r="M38" s="42"/>
      <c r="N38" s="4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2"/>
      <c r="B39" s="41"/>
      <c r="C39" s="42"/>
      <c r="D39" s="42"/>
      <c r="E39" s="42"/>
      <c r="F39" s="42"/>
      <c r="G39" s="42"/>
      <c r="H39" s="42"/>
      <c r="I39" s="42"/>
      <c r="J39" s="42"/>
      <c r="K39" s="43"/>
      <c r="L39" s="42"/>
      <c r="M39" s="42"/>
      <c r="N39" s="4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2"/>
      <c r="B40" s="41"/>
      <c r="C40" s="42"/>
      <c r="D40" s="42"/>
      <c r="E40" s="42"/>
      <c r="F40" s="42"/>
      <c r="G40" s="42"/>
      <c r="H40" s="42"/>
      <c r="I40" s="42"/>
      <c r="J40" s="42"/>
      <c r="K40" s="43"/>
      <c r="L40" s="42"/>
      <c r="M40" s="42"/>
      <c r="N40" s="4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2"/>
      <c r="B41" s="41"/>
      <c r="C41" s="42"/>
      <c r="D41" s="42"/>
      <c r="E41" s="42"/>
      <c r="F41" s="42"/>
      <c r="G41" s="42"/>
      <c r="H41" s="42"/>
      <c r="I41" s="42"/>
      <c r="J41" s="42"/>
      <c r="K41" s="43"/>
      <c r="L41" s="42"/>
      <c r="M41" s="42"/>
      <c r="N41" s="4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2"/>
      <c r="B42" s="41"/>
      <c r="C42" s="42"/>
      <c r="D42" s="42"/>
      <c r="E42" s="42"/>
      <c r="F42" s="42"/>
      <c r="G42" s="42"/>
      <c r="H42" s="42"/>
      <c r="I42" s="42"/>
      <c r="J42" s="42"/>
      <c r="K42" s="43"/>
      <c r="L42" s="42"/>
      <c r="M42" s="42"/>
      <c r="N42" s="4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2"/>
      <c r="B43" s="41"/>
      <c r="C43" s="42"/>
      <c r="D43" s="42"/>
      <c r="E43" s="42"/>
      <c r="F43" s="42"/>
      <c r="G43" s="42"/>
      <c r="H43" s="42"/>
      <c r="I43" s="42"/>
      <c r="J43" s="42"/>
      <c r="K43" s="43"/>
      <c r="L43" s="42"/>
      <c r="M43" s="42"/>
      <c r="N43" s="4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2"/>
      <c r="B44" s="41"/>
      <c r="C44" s="42"/>
      <c r="D44" s="42"/>
      <c r="E44" s="42"/>
      <c r="F44" s="42"/>
      <c r="G44" s="42"/>
      <c r="H44" s="42"/>
      <c r="I44" s="42"/>
      <c r="J44" s="42"/>
      <c r="K44" s="43"/>
      <c r="L44" s="42"/>
      <c r="M44" s="42"/>
      <c r="N44" s="4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2"/>
      <c r="B45" s="41"/>
      <c r="C45" s="42"/>
      <c r="D45" s="42"/>
      <c r="E45" s="42"/>
      <c r="F45" s="42"/>
      <c r="G45" s="42"/>
      <c r="H45" s="42"/>
      <c r="I45" s="42"/>
      <c r="J45" s="42"/>
      <c r="K45" s="43"/>
      <c r="L45" s="42"/>
      <c r="M45" s="42"/>
      <c r="N45" s="4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2"/>
      <c r="B46" s="41"/>
      <c r="C46" s="42"/>
      <c r="D46" s="42"/>
      <c r="E46" s="42"/>
      <c r="F46" s="42"/>
      <c r="G46" s="42"/>
      <c r="H46" s="42"/>
      <c r="I46" s="42"/>
      <c r="J46" s="42"/>
      <c r="K46" s="43"/>
      <c r="L46" s="42"/>
      <c r="M46" s="42"/>
      <c r="N46" s="4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2"/>
      <c r="B47" s="41"/>
      <c r="C47" s="42"/>
      <c r="D47" s="42"/>
      <c r="E47" s="42"/>
      <c r="F47" s="42"/>
      <c r="G47" s="42"/>
      <c r="H47" s="42"/>
      <c r="I47" s="42"/>
      <c r="J47" s="42"/>
      <c r="K47" s="43"/>
      <c r="L47" s="42"/>
      <c r="M47" s="42"/>
      <c r="N47" s="4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2"/>
      <c r="B48" s="41"/>
      <c r="C48" s="42"/>
      <c r="D48" s="42"/>
      <c r="E48" s="42"/>
      <c r="F48" s="42"/>
      <c r="G48" s="42"/>
      <c r="H48" s="42"/>
      <c r="I48" s="42"/>
      <c r="J48" s="42"/>
      <c r="K48" s="43"/>
      <c r="L48" s="42"/>
      <c r="M48" s="42"/>
      <c r="N48" s="4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2"/>
      <c r="B49" s="41"/>
      <c r="C49" s="42"/>
      <c r="D49" s="42"/>
      <c r="E49" s="42"/>
      <c r="F49" s="42"/>
      <c r="G49" s="42"/>
      <c r="H49" s="42"/>
      <c r="I49" s="42"/>
      <c r="J49" s="42"/>
      <c r="K49" s="43"/>
      <c r="L49" s="42"/>
      <c r="M49" s="42"/>
      <c r="N49" s="4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2"/>
      <c r="B50" s="41"/>
      <c r="C50" s="42"/>
      <c r="D50" s="42"/>
      <c r="E50" s="42"/>
      <c r="F50" s="42"/>
      <c r="G50" s="42"/>
      <c r="H50" s="42"/>
      <c r="I50" s="42"/>
      <c r="J50" s="42"/>
      <c r="K50" s="43"/>
      <c r="L50" s="42"/>
      <c r="M50" s="42"/>
      <c r="N50" s="4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2"/>
      <c r="B51" s="41"/>
      <c r="C51" s="42"/>
      <c r="D51" s="42"/>
      <c r="E51" s="42"/>
      <c r="F51" s="42"/>
      <c r="G51" s="42"/>
      <c r="H51" s="42"/>
      <c r="I51" s="42"/>
      <c r="J51" s="42"/>
      <c r="K51" s="43"/>
      <c r="L51" s="42"/>
      <c r="M51" s="42"/>
      <c r="N51" s="4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2"/>
      <c r="B52" s="41"/>
      <c r="C52" s="42"/>
      <c r="D52" s="42"/>
      <c r="E52" s="42"/>
      <c r="F52" s="42"/>
      <c r="G52" s="42"/>
      <c r="H52" s="42"/>
      <c r="I52" s="42"/>
      <c r="J52" s="42"/>
      <c r="K52" s="43"/>
      <c r="L52" s="42"/>
      <c r="M52" s="42"/>
      <c r="N52" s="4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2"/>
      <c r="B53" s="41"/>
      <c r="C53" s="42"/>
      <c r="D53" s="42"/>
      <c r="E53" s="42"/>
      <c r="F53" s="42"/>
      <c r="G53" s="42"/>
      <c r="H53" s="42"/>
      <c r="I53" s="42"/>
      <c r="J53" s="42"/>
      <c r="K53" s="43"/>
      <c r="L53" s="42"/>
      <c r="M53" s="42"/>
      <c r="N53" s="4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2"/>
      <c r="B54" s="41"/>
      <c r="C54" s="42"/>
      <c r="D54" s="42"/>
      <c r="E54" s="42"/>
      <c r="F54" s="42"/>
      <c r="G54" s="42"/>
      <c r="H54" s="42"/>
      <c r="I54" s="42"/>
      <c r="J54" s="42"/>
      <c r="K54" s="43"/>
      <c r="L54" s="42"/>
      <c r="M54" s="42"/>
      <c r="N54" s="4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2"/>
      <c r="B55" s="41"/>
      <c r="C55" s="42"/>
      <c r="D55" s="42"/>
      <c r="E55" s="42"/>
      <c r="F55" s="42"/>
      <c r="G55" s="42"/>
      <c r="H55" s="42"/>
      <c r="I55" s="42"/>
      <c r="J55" s="42"/>
      <c r="K55" s="43"/>
      <c r="L55" s="42"/>
      <c r="M55" s="42"/>
      <c r="N55" s="4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2"/>
      <c r="B56" s="41"/>
      <c r="C56" s="42"/>
      <c r="D56" s="42"/>
      <c r="E56" s="42"/>
      <c r="F56" s="42"/>
      <c r="G56" s="42"/>
      <c r="H56" s="42"/>
      <c r="I56" s="42"/>
      <c r="J56" s="42"/>
      <c r="K56" s="43"/>
      <c r="L56" s="42"/>
      <c r="M56" s="42"/>
      <c r="N56" s="4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2"/>
      <c r="B57" s="41"/>
      <c r="C57" s="42"/>
      <c r="D57" s="42"/>
      <c r="E57" s="42"/>
      <c r="F57" s="42"/>
      <c r="G57" s="42"/>
      <c r="H57" s="42"/>
      <c r="I57" s="42"/>
      <c r="J57" s="42"/>
      <c r="K57" s="43"/>
      <c r="L57" s="42"/>
      <c r="M57" s="42"/>
      <c r="N57" s="4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2"/>
      <c r="B58" s="41"/>
      <c r="C58" s="42"/>
      <c r="D58" s="42"/>
      <c r="E58" s="42"/>
      <c r="F58" s="42"/>
      <c r="G58" s="42"/>
      <c r="H58" s="42"/>
      <c r="I58" s="42"/>
      <c r="J58" s="42"/>
      <c r="K58" s="43"/>
      <c r="L58" s="42"/>
      <c r="M58" s="42"/>
      <c r="N58" s="4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2"/>
      <c r="B59" s="41"/>
      <c r="C59" s="42"/>
      <c r="D59" s="42"/>
      <c r="E59" s="42"/>
      <c r="F59" s="42"/>
      <c r="G59" s="42"/>
      <c r="H59" s="42"/>
      <c r="I59" s="42"/>
      <c r="J59" s="42"/>
      <c r="K59" s="43"/>
      <c r="L59" s="42"/>
      <c r="M59" s="42"/>
      <c r="N59" s="4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2"/>
      <c r="B60" s="41"/>
      <c r="C60" s="42"/>
      <c r="D60" s="42"/>
      <c r="E60" s="42"/>
      <c r="F60" s="42"/>
      <c r="G60" s="42"/>
      <c r="H60" s="42"/>
      <c r="I60" s="42"/>
      <c r="J60" s="42"/>
      <c r="K60" s="43"/>
      <c r="L60" s="42"/>
      <c r="M60" s="42"/>
      <c r="N60" s="4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2"/>
      <c r="B61" s="41"/>
      <c r="C61" s="42"/>
      <c r="D61" s="42"/>
      <c r="E61" s="42"/>
      <c r="F61" s="42"/>
      <c r="G61" s="42"/>
      <c r="H61" s="42"/>
      <c r="I61" s="42"/>
      <c r="J61" s="42"/>
      <c r="K61" s="43"/>
      <c r="L61" s="42"/>
      <c r="M61" s="42"/>
      <c r="N61" s="4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2"/>
      <c r="B62" s="41"/>
      <c r="C62" s="42"/>
      <c r="D62" s="42"/>
      <c r="E62" s="42"/>
      <c r="F62" s="42"/>
      <c r="G62" s="42"/>
      <c r="H62" s="42"/>
      <c r="I62" s="42"/>
      <c r="J62" s="42"/>
      <c r="K62" s="43"/>
      <c r="L62" s="42"/>
      <c r="M62" s="42"/>
      <c r="N62" s="4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2"/>
      <c r="B63" s="41"/>
      <c r="C63" s="42"/>
      <c r="D63" s="42"/>
      <c r="E63" s="42"/>
      <c r="F63" s="42"/>
      <c r="G63" s="42"/>
      <c r="H63" s="42"/>
      <c r="I63" s="42"/>
      <c r="J63" s="42"/>
      <c r="K63" s="43"/>
      <c r="L63" s="42"/>
      <c r="M63" s="42"/>
      <c r="N63" s="4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2"/>
      <c r="B64" s="41"/>
      <c r="C64" s="42"/>
      <c r="D64" s="42"/>
      <c r="E64" s="42"/>
      <c r="F64" s="42"/>
      <c r="G64" s="42"/>
      <c r="H64" s="42"/>
      <c r="I64" s="42"/>
      <c r="J64" s="42"/>
      <c r="K64" s="43"/>
      <c r="L64" s="42"/>
      <c r="M64" s="42"/>
      <c r="N64" s="4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2"/>
      <c r="B65" s="41"/>
      <c r="C65" s="42"/>
      <c r="D65" s="42"/>
      <c r="E65" s="42"/>
      <c r="F65" s="42"/>
      <c r="G65" s="42"/>
      <c r="H65" s="42"/>
      <c r="I65" s="42"/>
      <c r="J65" s="42"/>
      <c r="K65" s="43"/>
      <c r="L65" s="42"/>
      <c r="M65" s="42"/>
      <c r="N65" s="4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2"/>
      <c r="B66" s="41"/>
      <c r="C66" s="42"/>
      <c r="D66" s="42"/>
      <c r="E66" s="42"/>
      <c r="F66" s="42"/>
      <c r="G66" s="42"/>
      <c r="H66" s="42"/>
      <c r="I66" s="42"/>
      <c r="J66" s="42"/>
      <c r="K66" s="43"/>
      <c r="L66" s="42"/>
      <c r="M66" s="42"/>
      <c r="N66" s="4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2"/>
      <c r="B67" s="41"/>
      <c r="C67" s="42"/>
      <c r="D67" s="42"/>
      <c r="E67" s="42"/>
      <c r="F67" s="42"/>
      <c r="G67" s="42"/>
      <c r="H67" s="42"/>
      <c r="I67" s="42"/>
      <c r="J67" s="42"/>
      <c r="K67" s="43"/>
      <c r="L67" s="42"/>
      <c r="M67" s="42"/>
      <c r="N67" s="4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2"/>
      <c r="B68" s="41"/>
      <c r="C68" s="42"/>
      <c r="D68" s="42"/>
      <c r="E68" s="42"/>
      <c r="F68" s="42"/>
      <c r="G68" s="42"/>
      <c r="H68" s="42"/>
      <c r="I68" s="42"/>
      <c r="J68" s="42"/>
      <c r="K68" s="43"/>
      <c r="L68" s="42"/>
      <c r="M68" s="42"/>
      <c r="N68" s="4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2"/>
      <c r="B69" s="41"/>
      <c r="C69" s="42"/>
      <c r="D69" s="42"/>
      <c r="E69" s="42"/>
      <c r="F69" s="42"/>
      <c r="G69" s="42"/>
      <c r="H69" s="42"/>
      <c r="I69" s="42"/>
      <c r="J69" s="42"/>
      <c r="K69" s="43"/>
      <c r="L69" s="42"/>
      <c r="M69" s="42"/>
      <c r="N69" s="4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2"/>
      <c r="B70" s="41"/>
      <c r="C70" s="42"/>
      <c r="D70" s="42"/>
      <c r="E70" s="42"/>
      <c r="F70" s="42"/>
      <c r="G70" s="42"/>
      <c r="H70" s="42"/>
      <c r="I70" s="42"/>
      <c r="J70" s="42"/>
      <c r="K70" s="43"/>
      <c r="L70" s="42"/>
      <c r="M70" s="42"/>
      <c r="N70" s="4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2"/>
      <c r="B71" s="41"/>
      <c r="C71" s="42"/>
      <c r="D71" s="42"/>
      <c r="E71" s="42"/>
      <c r="F71" s="42"/>
      <c r="G71" s="42"/>
      <c r="H71" s="42"/>
      <c r="I71" s="42"/>
      <c r="J71" s="42"/>
      <c r="K71" s="43"/>
      <c r="L71" s="42"/>
      <c r="M71" s="42"/>
      <c r="N71" s="4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>
      <c r="A72" s="2"/>
      <c r="B72" s="41"/>
      <c r="C72" s="42"/>
      <c r="D72" s="42"/>
      <c r="E72" s="42"/>
      <c r="F72" s="42"/>
      <c r="G72" s="42"/>
      <c r="H72" s="42"/>
      <c r="I72" s="42"/>
      <c r="J72" s="42"/>
      <c r="K72" s="43"/>
      <c r="L72" s="42"/>
      <c r="M72" s="42"/>
      <c r="N72" s="4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2"/>
      <c r="B73" s="41"/>
      <c r="C73" s="42"/>
      <c r="D73" s="42"/>
      <c r="E73" s="42"/>
      <c r="F73" s="42"/>
      <c r="G73" s="42"/>
      <c r="H73" s="42"/>
      <c r="I73" s="42"/>
      <c r="J73" s="42"/>
      <c r="K73" s="43"/>
      <c r="L73" s="42"/>
      <c r="M73" s="42"/>
      <c r="N73" s="4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2"/>
      <c r="B74" s="41"/>
      <c r="C74" s="42"/>
      <c r="D74" s="42"/>
      <c r="E74" s="42"/>
      <c r="F74" s="42"/>
      <c r="G74" s="42"/>
      <c r="H74" s="42"/>
      <c r="I74" s="42"/>
      <c r="J74" s="42"/>
      <c r="K74" s="43"/>
      <c r="L74" s="42"/>
      <c r="M74" s="42"/>
      <c r="N74" s="4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2"/>
      <c r="B75" s="41"/>
      <c r="C75" s="42"/>
      <c r="D75" s="42"/>
      <c r="E75" s="42"/>
      <c r="F75" s="42"/>
      <c r="G75" s="42"/>
      <c r="H75" s="42"/>
      <c r="I75" s="42"/>
      <c r="J75" s="42"/>
      <c r="K75" s="43"/>
      <c r="L75" s="42"/>
      <c r="M75" s="42"/>
      <c r="N75" s="4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2"/>
      <c r="B76" s="41"/>
      <c r="C76" s="42"/>
      <c r="D76" s="42"/>
      <c r="E76" s="42"/>
      <c r="F76" s="42"/>
      <c r="G76" s="42"/>
      <c r="H76" s="42"/>
      <c r="I76" s="42"/>
      <c r="J76" s="42"/>
      <c r="K76" s="43"/>
      <c r="L76" s="42"/>
      <c r="M76" s="42"/>
      <c r="N76" s="4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2"/>
      <c r="B77" s="41"/>
      <c r="C77" s="42"/>
      <c r="D77" s="42"/>
      <c r="E77" s="42"/>
      <c r="F77" s="42"/>
      <c r="G77" s="42"/>
      <c r="H77" s="42"/>
      <c r="I77" s="42"/>
      <c r="J77" s="42"/>
      <c r="K77" s="43"/>
      <c r="L77" s="42"/>
      <c r="M77" s="42"/>
      <c r="N77" s="4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2"/>
      <c r="B78" s="41"/>
      <c r="C78" s="42"/>
      <c r="D78" s="42"/>
      <c r="E78" s="42"/>
      <c r="F78" s="42"/>
      <c r="G78" s="42"/>
      <c r="H78" s="42"/>
      <c r="I78" s="42"/>
      <c r="J78" s="42"/>
      <c r="K78" s="43"/>
      <c r="L78" s="42"/>
      <c r="M78" s="42"/>
      <c r="N78" s="4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Y37"/>
  <sheetViews>
    <sheetView workbookViewId="0" showGridLines="0" defaultGridColor="1"/>
  </sheetViews>
  <sheetFormatPr defaultColWidth="8.83333" defaultRowHeight="19.5" customHeight="1" outlineLevelRow="0" outlineLevelCol="0"/>
  <cols>
    <col min="1" max="1" width="9.17188" style="44" customWidth="1"/>
    <col min="2" max="2" width="16.8516" style="44" customWidth="1"/>
    <col min="3" max="3" width="12" style="44" customWidth="1"/>
    <col min="4" max="4" width="10" style="44" customWidth="1"/>
    <col min="5" max="5" width="9.85156" style="44" customWidth="1"/>
    <col min="6" max="6" width="17.5" style="44" customWidth="1"/>
    <col min="7" max="7" width="11.5" style="44" customWidth="1"/>
    <col min="8" max="8" width="11.3516" style="44" customWidth="1"/>
    <col min="9" max="9" width="10.1719" style="44" customWidth="1"/>
    <col min="10" max="10" width="19.6719" style="44" customWidth="1"/>
    <col min="11" max="11" width="11.8516" style="44" customWidth="1"/>
    <col min="12" max="12" width="8.85156" style="44" customWidth="1"/>
    <col min="13" max="13" width="5.5" style="44" customWidth="1"/>
    <col min="14" max="14" width="8.5" style="44" customWidth="1"/>
    <col min="15" max="15" width="19.5" style="44" customWidth="1"/>
    <col min="16" max="16" width="8.17188" style="44" customWidth="1"/>
    <col min="17" max="17" width="7" style="44" customWidth="1"/>
    <col min="18" max="19" width="10.5" style="44" customWidth="1"/>
    <col min="20" max="20" width="12.1719" style="44" customWidth="1"/>
    <col min="21" max="21" width="12.5" style="44" customWidth="1"/>
    <col min="22" max="23" width="10.1719" style="44" customWidth="1"/>
    <col min="24" max="24" width="12.6719" style="44" customWidth="1"/>
    <col min="25" max="25" width="9.17188" style="44" customWidth="1"/>
    <col min="26" max="16384" width="8.85156" style="44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2"/>
    </row>
    <row r="4" ht="45.75" customHeight="1">
      <c r="A4" s="4"/>
      <c r="B4" t="s" s="47">
        <v>124</v>
      </c>
      <c r="C4" t="s" s="47">
        <v>125</v>
      </c>
      <c r="D4" t="s" s="47">
        <v>126</v>
      </c>
      <c r="E4" t="s" s="47">
        <v>125</v>
      </c>
      <c r="F4" t="s" s="47">
        <v>127</v>
      </c>
      <c r="G4" t="s" s="47">
        <v>125</v>
      </c>
      <c r="H4" t="s" s="47">
        <v>128</v>
      </c>
      <c r="I4" t="s" s="47">
        <v>125</v>
      </c>
      <c r="J4" t="s" s="47">
        <v>129</v>
      </c>
      <c r="K4" t="s" s="47">
        <v>125</v>
      </c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A5" s="48"/>
      <c r="B5" s="49">
        <v>400</v>
      </c>
      <c r="C5" t="s" s="50">
        <v>130</v>
      </c>
      <c r="D5" s="49">
        <v>3</v>
      </c>
      <c r="E5" t="s" s="50">
        <v>130</v>
      </c>
      <c r="F5" s="49">
        <v>2.1</v>
      </c>
      <c r="G5" t="s" s="50">
        <v>130</v>
      </c>
      <c r="H5" s="49">
        <v>2.98</v>
      </c>
      <c r="I5" t="s" s="50">
        <v>130</v>
      </c>
      <c r="J5" s="49">
        <v>1</v>
      </c>
      <c r="K5" t="s" s="50">
        <v>130</v>
      </c>
      <c r="L5" s="51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2"/>
    </row>
    <row r="6" ht="19.5" customHeight="1">
      <c r="A6" s="45"/>
      <c r="B6" s="52"/>
      <c r="C6" s="52"/>
      <c r="D6" s="52"/>
      <c r="E6" s="52"/>
      <c r="F6" s="52"/>
      <c r="G6" s="52"/>
      <c r="H6" s="52"/>
      <c r="I6" s="52"/>
      <c r="J6" s="52"/>
      <c r="K6" s="52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2"/>
    </row>
    <row r="7" ht="19.5" customHeight="1">
      <c r="A7" s="48"/>
      <c r="B7" t="s" s="53">
        <v>131</v>
      </c>
      <c r="C7" s="54"/>
      <c r="D7" s="55"/>
      <c r="E7" s="56"/>
      <c r="F7" t="s" s="53">
        <v>132</v>
      </c>
      <c r="G7" s="54"/>
      <c r="H7" s="55"/>
      <c r="I7" s="56"/>
      <c r="J7" t="s" s="53">
        <v>133</v>
      </c>
      <c r="K7" s="54"/>
      <c r="L7" s="55"/>
      <c r="M7" s="55"/>
      <c r="N7" s="56"/>
      <c r="O7" t="s" s="53">
        <v>134</v>
      </c>
      <c r="P7" s="54"/>
      <c r="Q7" s="55"/>
      <c r="R7" s="55"/>
      <c r="S7" s="56"/>
      <c r="T7" t="s" s="53">
        <v>135</v>
      </c>
      <c r="U7" s="54"/>
      <c r="V7" s="55"/>
      <c r="W7" s="55"/>
      <c r="X7" s="56"/>
      <c r="Y7" s="7"/>
    </row>
    <row r="8" ht="32.25" customHeight="1">
      <c r="A8" s="48"/>
      <c r="B8" t="s" s="57">
        <v>136</v>
      </c>
      <c r="C8" t="s" s="57">
        <v>137</v>
      </c>
      <c r="D8" t="s" s="57">
        <v>125</v>
      </c>
      <c r="E8" t="s" s="57">
        <v>15</v>
      </c>
      <c r="F8" t="s" s="57">
        <v>136</v>
      </c>
      <c r="G8" t="s" s="57">
        <v>137</v>
      </c>
      <c r="H8" t="s" s="57">
        <v>125</v>
      </c>
      <c r="I8" t="s" s="57">
        <v>15</v>
      </c>
      <c r="J8" t="s" s="57">
        <v>136</v>
      </c>
      <c r="K8" t="s" s="57">
        <v>137</v>
      </c>
      <c r="L8" t="s" s="57">
        <v>138</v>
      </c>
      <c r="M8" t="s" s="57">
        <v>125</v>
      </c>
      <c r="N8" t="s" s="57">
        <v>15</v>
      </c>
      <c r="O8" t="s" s="57">
        <v>136</v>
      </c>
      <c r="P8" t="s" s="57">
        <v>137</v>
      </c>
      <c r="Q8" t="s" s="57">
        <v>138</v>
      </c>
      <c r="R8" t="s" s="57">
        <v>125</v>
      </c>
      <c r="S8" t="s" s="57">
        <v>15</v>
      </c>
      <c r="T8" t="s" s="57">
        <v>139</v>
      </c>
      <c r="U8" t="s" s="57">
        <v>140</v>
      </c>
      <c r="V8" t="s" s="57">
        <v>125</v>
      </c>
      <c r="W8" t="s" s="57">
        <v>141</v>
      </c>
      <c r="X8" t="s" s="57">
        <v>15</v>
      </c>
      <c r="Y8" s="7"/>
    </row>
    <row r="9" ht="19.5" customHeight="1">
      <c r="A9" s="48"/>
      <c r="B9" t="s" s="58">
        <v>74</v>
      </c>
      <c r="C9" s="59">
        <v>2241</v>
      </c>
      <c r="D9" t="s" s="58">
        <v>142</v>
      </c>
      <c r="E9" s="59">
        <v>0</v>
      </c>
      <c r="F9" t="s" s="58">
        <v>1</v>
      </c>
      <c r="G9" s="59">
        <v>1111</v>
      </c>
      <c r="H9" t="s" s="58">
        <v>142</v>
      </c>
      <c r="I9" s="59">
        <v>0</v>
      </c>
      <c r="J9" t="s" s="58">
        <v>1</v>
      </c>
      <c r="K9" s="59">
        <v>4446</v>
      </c>
      <c r="L9" s="60">
        <v>105.03</v>
      </c>
      <c r="M9" t="s" s="50">
        <v>130</v>
      </c>
      <c r="N9" s="59">
        <v>0</v>
      </c>
      <c r="O9" t="s" s="58">
        <v>134</v>
      </c>
      <c r="P9" s="59">
        <v>4446</v>
      </c>
      <c r="Q9" s="60">
        <v>28.07</v>
      </c>
      <c r="R9" t="s" s="50">
        <v>130</v>
      </c>
      <c r="S9" s="61"/>
      <c r="T9" t="s" s="58">
        <v>3</v>
      </c>
      <c r="U9" s="59">
        <v>5558</v>
      </c>
      <c r="V9" t="s" s="50">
        <v>143</v>
      </c>
      <c r="W9" s="59">
        <v>13</v>
      </c>
      <c r="X9" s="59">
        <v>0</v>
      </c>
      <c r="Y9" s="7"/>
    </row>
    <row r="10" ht="19.5" customHeight="1">
      <c r="A10" s="48"/>
      <c r="B10" t="s" s="62">
        <v>89</v>
      </c>
      <c r="C10" s="63">
        <v>2230</v>
      </c>
      <c r="D10" t="s" s="62">
        <v>142</v>
      </c>
      <c r="E10" s="63">
        <v>0</v>
      </c>
      <c r="F10" t="s" s="62">
        <v>90</v>
      </c>
      <c r="G10" s="63">
        <v>1117</v>
      </c>
      <c r="H10" t="s" s="62">
        <v>142</v>
      </c>
      <c r="I10" s="63">
        <v>0</v>
      </c>
      <c r="J10" t="s" s="58">
        <v>6</v>
      </c>
      <c r="K10" s="59">
        <v>4446</v>
      </c>
      <c r="L10" s="60">
        <v>6.01</v>
      </c>
      <c r="M10" t="s" s="50">
        <v>130</v>
      </c>
      <c r="N10" s="59">
        <v>0</v>
      </c>
      <c r="O10" s="64"/>
      <c r="P10" s="65"/>
      <c r="Q10" s="65"/>
      <c r="R10" s="65"/>
      <c r="S10" s="66"/>
      <c r="T10" t="s" s="62">
        <v>144</v>
      </c>
      <c r="U10" s="63">
        <v>5559</v>
      </c>
      <c r="V10" t="s" s="67">
        <v>143</v>
      </c>
      <c r="W10" s="63">
        <v>3</v>
      </c>
      <c r="X10" s="63">
        <v>0</v>
      </c>
      <c r="Y10" s="7"/>
    </row>
    <row r="11" ht="19.5" customHeight="1">
      <c r="A11" s="45"/>
      <c r="B11" s="45"/>
      <c r="C11" s="45"/>
      <c r="D11" s="45"/>
      <c r="E11" s="45"/>
      <c r="F11" s="45"/>
      <c r="G11" s="45"/>
      <c r="H11" s="45"/>
      <c r="I11" s="48"/>
      <c r="J11" t="s" s="58">
        <v>5</v>
      </c>
      <c r="K11" s="59">
        <v>4446</v>
      </c>
      <c r="L11" s="60">
        <v>125.47</v>
      </c>
      <c r="M11" t="s" s="50">
        <v>130</v>
      </c>
      <c r="N11" s="59">
        <v>0</v>
      </c>
      <c r="O11" s="51"/>
      <c r="P11" s="45"/>
      <c r="Q11" s="45"/>
      <c r="R11" s="45"/>
      <c r="S11" s="45"/>
      <c r="T11" s="45"/>
      <c r="U11" s="45"/>
      <c r="V11" s="45"/>
      <c r="W11" s="45"/>
      <c r="X11" s="45"/>
      <c r="Y11" s="2"/>
    </row>
    <row r="12" ht="19.5" customHeight="1">
      <c r="A12" s="45"/>
      <c r="B12" s="45"/>
      <c r="C12" s="45"/>
      <c r="D12" s="45"/>
      <c r="E12" s="45"/>
      <c r="F12" s="45"/>
      <c r="G12" s="45"/>
      <c r="H12" s="45"/>
      <c r="I12" s="48"/>
      <c r="J12" t="s" s="62">
        <v>145</v>
      </c>
      <c r="K12" s="63">
        <v>4446</v>
      </c>
      <c r="L12" s="68">
        <v>46.3360591240185</v>
      </c>
      <c r="M12" t="s" s="67">
        <v>130</v>
      </c>
      <c r="N12" s="69">
        <v>0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2"/>
    </row>
    <row r="13" ht="19.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2"/>
    </row>
    <row r="14" ht="19.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2"/>
    </row>
    <row r="15" ht="19.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2"/>
    </row>
    <row r="16" ht="19.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2"/>
    </row>
    <row r="17" ht="19.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2"/>
    </row>
    <row r="18" ht="19.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2"/>
    </row>
    <row r="19" ht="19.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2"/>
    </row>
    <row r="20" ht="19.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2"/>
    </row>
    <row r="21" ht="19.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2"/>
    </row>
    <row r="22" ht="19.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2"/>
    </row>
    <row r="23" ht="19.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2"/>
    </row>
    <row r="24" ht="19.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2"/>
    </row>
    <row r="25" ht="19.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2"/>
    </row>
    <row r="26" ht="19.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2"/>
    </row>
    <row r="27" ht="19.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2"/>
    </row>
    <row r="28" ht="19.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2"/>
    </row>
    <row r="29" ht="19.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2"/>
    </row>
    <row r="30" ht="19.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2"/>
    </row>
    <row r="31" ht="19.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2"/>
    </row>
    <row r="32" ht="19.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2"/>
    </row>
    <row r="33" ht="19.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2"/>
    </row>
    <row r="34" ht="19.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2"/>
    </row>
    <row r="35" ht="19.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2"/>
    </row>
    <row r="36" ht="19.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2"/>
    </row>
    <row r="37" ht="19.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2"/>
    </row>
  </sheetData>
  <mergeCells count="5">
    <mergeCell ref="T7:X7"/>
    <mergeCell ref="F7:I7"/>
    <mergeCell ref="J7:N7"/>
    <mergeCell ref="B7:E7"/>
    <mergeCell ref="O7:S7"/>
  </mergeCells>
  <dataValidations count="3">
    <dataValidation type="list" allowBlank="1" showInputMessage="1" showErrorMessage="1" sqref="C3 E3 G3 I3 K3 M9:M12 R9">
      <formula1>"cm,m,f,inch"</formula1>
    </dataValidation>
    <dataValidation type="list" allowBlank="1" showInputMessage="1" showErrorMessage="1" sqref="D9:D10 H9:H10">
      <formula1>"cm^2,m^2,f^2,inch^2"</formula1>
    </dataValidation>
    <dataValidation type="list" allowBlank="1" showInputMessage="1" showErrorMessage="1" sqref="V9:V10">
      <formula1>"Number"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J15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.6719" style="70" customWidth="1"/>
    <col min="2" max="2" width="18.1719" style="70" customWidth="1"/>
    <col min="3" max="3" width="27.5" style="70" customWidth="1"/>
    <col min="4" max="4" width="16.5" style="70" customWidth="1"/>
    <col min="5" max="6" width="27.5" style="70" customWidth="1"/>
    <col min="7" max="7" width="18.6719" style="70" customWidth="1"/>
    <col min="8" max="9" width="20.6719" style="70" customWidth="1"/>
    <col min="10" max="10" width="9.17188" style="70" customWidth="1"/>
    <col min="11" max="16384" width="8.85156" style="70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3"/>
      <c r="C3" s="3"/>
      <c r="D3" s="3"/>
      <c r="E3" s="3"/>
      <c r="F3" s="3"/>
      <c r="G3" s="3"/>
      <c r="H3" s="3"/>
      <c r="I3" s="3"/>
      <c r="J3" s="2"/>
    </row>
    <row r="4" ht="25.5" customHeight="1">
      <c r="A4" s="4"/>
      <c r="B4" t="s" s="47">
        <v>146</v>
      </c>
      <c r="C4" t="s" s="47">
        <v>136</v>
      </c>
      <c r="D4" t="s" s="47">
        <v>137</v>
      </c>
      <c r="E4" t="s" s="47">
        <v>125</v>
      </c>
      <c r="F4" t="s" s="47">
        <v>147</v>
      </c>
      <c r="G4" t="s" s="47">
        <v>148</v>
      </c>
      <c r="H4" t="s" s="47">
        <v>15</v>
      </c>
      <c r="I4" t="s" s="47">
        <v>149</v>
      </c>
      <c r="J4" s="7"/>
    </row>
    <row r="5" ht="12.75" customHeight="1">
      <c r="A5" s="4"/>
      <c r="B5" t="s" s="58">
        <f>IF(ISBLANK(C5),"",'General'!$B$7)</f>
        <v>150</v>
      </c>
      <c r="C5" t="s" s="58">
        <f>'General'!B9</f>
        <v>74</v>
      </c>
      <c r="D5" s="59">
        <f>IF(ISBLANK(C5),"",VLOOKUP(C5,'General'!$B$9:$C$10,2,FALSE))</f>
        <v>2241</v>
      </c>
      <c r="E5" t="s" s="58">
        <f>IF(ISBLANK(C5),"",VLOOKUP(C5,'General'!$B$9:$E$10,3,FALSE))</f>
        <v>142</v>
      </c>
      <c r="F5" s="59">
        <f>ROUND(IF(ISBLANK(C5),"",SUMIF('Inventory'!$L1:$L78,$C5,'Inventory'!$K1:$K78)),2)</f>
        <v>2025.03</v>
      </c>
      <c r="G5" s="59">
        <v>0</v>
      </c>
      <c r="H5" s="59">
        <f>IF(ISBLANK(C5),"",VLOOKUP(C5,'General'!$B$9:$E$10,4,FALSE))</f>
        <v>0</v>
      </c>
      <c r="I5" s="60">
        <f>IF(ISBLANK(C5),"",H5*G5)</f>
        <v>0</v>
      </c>
      <c r="J5" s="7"/>
    </row>
    <row r="6" ht="12.75" customHeight="1">
      <c r="A6" s="4"/>
      <c r="B6" t="s" s="58">
        <f>IF(ISBLANK(C6),"",'General'!$B$7)</f>
        <v>150</v>
      </c>
      <c r="C6" t="s" s="58">
        <f>'General'!B10</f>
        <v>89</v>
      </c>
      <c r="D6" s="59">
        <f>IF(ISBLANK(C6),"",VLOOKUP(C6,'General'!$B$9:$C$10,2,FALSE))</f>
        <v>2230</v>
      </c>
      <c r="E6" t="s" s="58">
        <f>IF(ISBLANK(C6),"",VLOOKUP(C6,'General'!$B$9:$E$10,3,FALSE))</f>
        <v>142</v>
      </c>
      <c r="F6" s="59">
        <f>ROUND(IF(ISBLANK(C6),"",SUMIF('Inventory'!$L1:$L78,$C6,'Inventory'!$K1:$K78)),2)</f>
        <v>6453.84</v>
      </c>
      <c r="G6" s="59">
        <v>0</v>
      </c>
      <c r="H6" s="59">
        <f>IF(ISBLANK(C6),"",VLOOKUP(C6,'General'!$B$9:$E$10,4,FALSE))</f>
        <v>0</v>
      </c>
      <c r="I6" s="60">
        <f>IF(ISBLANK(C6),"",H6*G6)</f>
        <v>0</v>
      </c>
      <c r="J6" s="7"/>
    </row>
    <row r="7" ht="12.75" customHeight="1">
      <c r="A7" s="4"/>
      <c r="B7" t="s" s="58">
        <f>IF(ISBLANK(C5),"",'General'!$F$7)</f>
        <v>151</v>
      </c>
      <c r="C7" t="s" s="58">
        <f>'General'!F9</f>
        <v>1</v>
      </c>
      <c r="D7" s="59">
        <f>IF(ISBLANK(C7),"",VLOOKUP(C7,'General'!$F$9:$I$10,2,FALSE))</f>
        <v>1111</v>
      </c>
      <c r="E7" t="s" s="58">
        <f>IF(ISBLANK(C7),"",VLOOKUP(C7,'General'!$F$9:$I$10,3,FALSE))</f>
        <v>142</v>
      </c>
      <c r="F7" s="59">
        <f>ROUND(IF(ISBLANK(C7),"",SUMIF('Inventory'!$M1:$M78,$C7,'Inventory'!$K1:$K78)),2)</f>
        <v>7721.26</v>
      </c>
      <c r="G7" s="59">
        <v>0</v>
      </c>
      <c r="H7" s="59">
        <f>IF(ISBLANK(C7),"",VLOOKUP(C7,'General'!$F$9:$I$10,4,FALSE))</f>
        <v>0</v>
      </c>
      <c r="I7" s="60">
        <f>IF(ISBLANK(C7),"",H7*G7)</f>
        <v>0</v>
      </c>
      <c r="J7" s="7"/>
    </row>
    <row r="8" ht="12.75" customHeight="1">
      <c r="A8" s="4"/>
      <c r="B8" t="s" s="58">
        <f>IF(ISBLANK(C6),"",'General'!$F$7)</f>
        <v>151</v>
      </c>
      <c r="C8" t="s" s="58">
        <f>'General'!F10</f>
        <v>90</v>
      </c>
      <c r="D8" s="59">
        <f>IF(ISBLANK(C8),"",VLOOKUP(C8,'General'!$F$9:$I$10,2,FALSE))</f>
        <v>1117</v>
      </c>
      <c r="E8" t="s" s="58">
        <f>IF(ISBLANK(C8),"",VLOOKUP(C8,'General'!$F$9:$I$10,3,FALSE))</f>
        <v>142</v>
      </c>
      <c r="F8" s="59">
        <f>ROUND(IF(ISBLANK(C8),"",SUMIF('Inventory'!$M1:$M78,$C8,'Inventory'!$K1:$K78)),2)</f>
        <v>757.61</v>
      </c>
      <c r="G8" s="59">
        <v>0</v>
      </c>
      <c r="H8" s="59">
        <f>IF(ISBLANK(C8),"",VLOOKUP(C8,'General'!$F$9:$I$10,4,FALSE))</f>
        <v>0</v>
      </c>
      <c r="I8" s="60">
        <f>IF(ISBLANK(C8),"",H8*G8)</f>
        <v>0</v>
      </c>
      <c r="J8" s="7"/>
    </row>
    <row r="9" ht="12.75" customHeight="1">
      <c r="A9" s="4"/>
      <c r="B9" t="s" s="58">
        <f>IF(ISBLANK(C5),"",'General'!$J$7)</f>
        <v>152</v>
      </c>
      <c r="C9" t="s" s="58">
        <f>'General'!J9</f>
        <v>1</v>
      </c>
      <c r="D9" s="59">
        <f>IF(ISBLANK(C9),"",VLOOKUP(C9,'General'!$J$9:$N$12,2,FALSE))</f>
        <v>4446</v>
      </c>
      <c r="E9" t="s" s="58">
        <f>IF(ISBLANK(C9),"",VLOOKUP(C9,'General'!$J$9:$N$12,4,FALSE))</f>
        <v>153</v>
      </c>
      <c r="F9" s="60">
        <f>ROUND(IF(ISBLANK(C9),"",'General'!$D$5*(VLOOKUP(C9,'General'!$J$9:$N$12,3,FALSE))),2)</f>
        <v>315.09</v>
      </c>
      <c r="G9" s="59">
        <v>0</v>
      </c>
      <c r="H9" s="59">
        <f>IF(ISBLANK(C9),"",VLOOKUP(C9,'General'!$J$9:$N$12,5,FALSE))</f>
        <v>0</v>
      </c>
      <c r="I9" s="60">
        <f>IF(ISBLANK(C9),"",H9*F9)</f>
        <v>0</v>
      </c>
      <c r="J9" s="7"/>
    </row>
    <row r="10" ht="12.75" customHeight="1">
      <c r="A10" s="4"/>
      <c r="B10" t="s" s="58">
        <f>IF(ISBLANK(C6),"",'General'!$J$7)</f>
        <v>152</v>
      </c>
      <c r="C10" t="s" s="58">
        <f>'General'!J10</f>
        <v>6</v>
      </c>
      <c r="D10" s="59">
        <f>IF(ISBLANK(C10),"",VLOOKUP(C10,'General'!$J$9:$N$12,2,FALSE))</f>
        <v>4446</v>
      </c>
      <c r="E10" t="s" s="58">
        <f>IF(ISBLANK(C10),"",VLOOKUP(C10,'General'!$J$9:$N$12,4,FALSE))</f>
        <v>153</v>
      </c>
      <c r="F10" s="60">
        <f>ROUND(IF(ISBLANK(C10),"",'General'!$D$5*(VLOOKUP(C10,'General'!$J$9:$N$12,3,FALSE))),2)</f>
        <v>18.03</v>
      </c>
      <c r="G10" s="59">
        <v>0</v>
      </c>
      <c r="H10" s="59">
        <f>IF(ISBLANK(C10),"",VLOOKUP(C10,'General'!$J$9:$N$12,5,FALSE))</f>
        <v>0</v>
      </c>
      <c r="I10" s="60">
        <f>IF(ISBLANK(C10),"",H10*F10)</f>
        <v>0</v>
      </c>
      <c r="J10" s="7"/>
    </row>
    <row r="11" ht="12.75" customHeight="1">
      <c r="A11" s="4"/>
      <c r="B11" t="s" s="58">
        <f>IF(ISBLANK(C7),"",'General'!$J$7)</f>
        <v>152</v>
      </c>
      <c r="C11" t="s" s="58">
        <f>'General'!J11</f>
        <v>5</v>
      </c>
      <c r="D11" s="59">
        <f>IF(ISBLANK(C11),"",VLOOKUP(C11,'General'!$J$9:$N$12,2,FALSE))</f>
        <v>4446</v>
      </c>
      <c r="E11" t="s" s="58">
        <f>IF(ISBLANK(C11),"",VLOOKUP(C11,'General'!$J$9:$N$12,4,FALSE))</f>
        <v>153</v>
      </c>
      <c r="F11" s="60">
        <f>ROUND(IF(ISBLANK(C11),"",'General'!$D$5*(VLOOKUP(C11,'General'!$J$9:$N$12,3,FALSE))),2)</f>
        <v>376.41</v>
      </c>
      <c r="G11" s="59">
        <v>0</v>
      </c>
      <c r="H11" s="59">
        <f>IF(ISBLANK(C11),"",VLOOKUP(C11,'General'!$J$9:$N$12,5,FALSE))</f>
        <v>0</v>
      </c>
      <c r="I11" s="60">
        <f>IF(ISBLANK(C11),"",H11*F11)</f>
        <v>0</v>
      </c>
      <c r="J11" s="7"/>
    </row>
    <row r="12" ht="12.75" customHeight="1">
      <c r="A12" s="4"/>
      <c r="B12" t="s" s="58">
        <f>IF(ISBLANK(C8),"",'General'!$J$7)</f>
        <v>152</v>
      </c>
      <c r="C12" t="s" s="58">
        <f>'General'!J12</f>
        <v>145</v>
      </c>
      <c r="D12" s="59">
        <f>IF(ISBLANK(C12),"",VLOOKUP(C12,'General'!$J$9:$N$12,2,FALSE))</f>
        <v>4446</v>
      </c>
      <c r="E12" t="s" s="58">
        <f>IF(ISBLANK(C12),"",VLOOKUP(C12,'General'!$J$9:$N$12,4,FALSE))</f>
        <v>153</v>
      </c>
      <c r="F12" s="60">
        <f>ROUND(IF(ISBLANK(C12),"",'General'!$D$5*(VLOOKUP(C12,'General'!$J$9:$N$12,3,FALSE))),2)</f>
        <v>139.01</v>
      </c>
      <c r="G12" s="59">
        <v>0</v>
      </c>
      <c r="H12" s="59">
        <f>IF(ISBLANK(C12),"",VLOOKUP(C12,'General'!$J$9:$N$12,5,FALSE))</f>
        <v>0</v>
      </c>
      <c r="I12" s="60">
        <f>IF(ISBLANK(C12),"",H12*F12)</f>
        <v>0</v>
      </c>
      <c r="J12" s="7"/>
    </row>
    <row r="13" ht="12.75" customHeight="1">
      <c r="A13" s="4"/>
      <c r="B13" t="s" s="58">
        <f>IF(ISBLANK(C6),"",'General'!$O$7)</f>
        <v>154</v>
      </c>
      <c r="C13" t="s" s="58">
        <f>'General'!O9</f>
        <v>134</v>
      </c>
      <c r="D13" s="59">
        <f>IF(ISBLANK(C13),"",VLOOKUP(C13,'General'!$O$9:$S$9,2,FALSE))</f>
        <v>4446</v>
      </c>
      <c r="E13" t="s" s="58">
        <f>IF(ISBLANK(C13),"",VLOOKUP(C13,'General'!$O$9:$S$9,4,FALSE))</f>
        <v>153</v>
      </c>
      <c r="F13" s="60">
        <f>ROUND(IF(ISBLANK(C13),"",'General'!$H$5*(VLOOKUP(C13,'General'!$O$9:$S$9,3,FALSE))),2)</f>
        <v>83.65000000000001</v>
      </c>
      <c r="G13" s="59">
        <v>0</v>
      </c>
      <c r="H13" s="59">
        <f>IF(ISBLANK(C13),"",VLOOKUP(C13,'General'!$O$9:$S$9,5,FALSE))</f>
        <v>0</v>
      </c>
      <c r="I13" s="60">
        <f>IF(ISBLANK(C13),"",H13*F13)</f>
        <v>0</v>
      </c>
      <c r="J13" s="7"/>
    </row>
    <row r="14" ht="12.75" customHeight="1">
      <c r="A14" s="4"/>
      <c r="B14" t="s" s="58">
        <f>IF(ISBLANK(C5),"",'General'!$T$7)</f>
        <v>155</v>
      </c>
      <c r="C14" t="s" s="58">
        <f>'General'!T9</f>
        <v>3</v>
      </c>
      <c r="D14" s="59">
        <f>IF(ISBLANK(C14),"",VLOOKUP(C14,'General'!$T$9:$X$10,2,FALSE))</f>
        <v>5558</v>
      </c>
      <c r="E14" t="s" s="58">
        <f>IF(ISBLANK(C14),"",VLOOKUP(C14,'General'!$T$9:$X$10,3,FALSE))</f>
        <v>156</v>
      </c>
      <c r="F14" s="59">
        <f>IF(ISBLANK(C14),"",VLOOKUP(C14,'General'!$T$9:$X$10,4,FALSE))</f>
        <v>13</v>
      </c>
      <c r="G14" s="59">
        <v>0</v>
      </c>
      <c r="H14" s="59">
        <f>IF(ISBLANK(C14),"",VLOOKUP(C14,'General'!$T$9:$X$10,5,FALSE))</f>
        <v>0</v>
      </c>
      <c r="I14" s="60">
        <f>IF(ISBLANK(C14),"",H14*F14)</f>
        <v>0</v>
      </c>
      <c r="J14" s="7"/>
    </row>
    <row r="15" ht="12.75" customHeight="1">
      <c r="A15" s="4"/>
      <c r="B15" t="s" s="58">
        <f>IF(ISBLANK(C6),"",'General'!$T$7)</f>
        <v>155</v>
      </c>
      <c r="C15" t="s" s="58">
        <f>'General'!T10</f>
        <v>144</v>
      </c>
      <c r="D15" s="59">
        <f>IF(ISBLANK(C15),"",VLOOKUP(C15,'General'!$T$9:$X$10,2,FALSE))</f>
        <v>5559</v>
      </c>
      <c r="E15" t="s" s="58">
        <f>IF(ISBLANK(C15),"",VLOOKUP(C15,'General'!$T$9:$X$10,3,FALSE))</f>
        <v>156</v>
      </c>
      <c r="F15" s="59">
        <f>IF(ISBLANK(C15),"",VLOOKUP(C15,'General'!$T$9:$X$10,4,FALSE))</f>
        <v>3</v>
      </c>
      <c r="G15" s="59">
        <v>0</v>
      </c>
      <c r="H15" s="59">
        <f>IF(ISBLANK(C15),"",VLOOKUP(C15,'General'!$T$9:$X$10,5,FALSE))</f>
        <v>0</v>
      </c>
      <c r="I15" s="60">
        <f>IF(ISBLANK(C15),"",H15*F15)</f>
        <v>0</v>
      </c>
      <c r="J1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71" customWidth="1"/>
    <col min="2" max="2" width="21.6719" style="71" customWidth="1"/>
    <col min="3" max="3" width="33.5" style="71" customWidth="1"/>
    <col min="4" max="4" width="24.3516" style="71" customWidth="1"/>
    <col min="5" max="5" width="14.5" style="71" customWidth="1"/>
    <col min="6" max="6" width="22.1719" style="71" customWidth="1"/>
    <col min="7" max="9" width="14.5" style="71" customWidth="1"/>
    <col min="10" max="10" width="20.1719" style="71" customWidth="1"/>
    <col min="11" max="16384" width="14.5" style="71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3"/>
      <c r="C3" s="3"/>
      <c r="D3" s="3"/>
      <c r="E3" s="3"/>
      <c r="F3" s="3"/>
      <c r="G3" s="3"/>
      <c r="H3" s="3"/>
      <c r="I3" s="3"/>
      <c r="J3" s="2"/>
    </row>
    <row r="4" ht="36.75" customHeight="1">
      <c r="A4" s="72"/>
      <c r="B4" t="s" s="47">
        <v>146</v>
      </c>
      <c r="C4" t="s" s="47">
        <v>136</v>
      </c>
      <c r="D4" t="s" s="47">
        <v>137</v>
      </c>
      <c r="E4" t="s" s="47">
        <v>125</v>
      </c>
      <c r="F4" t="s" s="47">
        <v>157</v>
      </c>
      <c r="G4" t="s" s="47">
        <v>148</v>
      </c>
      <c r="H4" t="s" s="47">
        <v>15</v>
      </c>
      <c r="I4" t="s" s="47">
        <v>149</v>
      </c>
      <c r="J4" s="7"/>
    </row>
    <row r="5" ht="12.75" customHeight="1">
      <c r="A5" s="72"/>
      <c r="B5" t="s" s="58">
        <f>IF(ISBLANK(C5),"",'General'!$B$7)</f>
        <v>150</v>
      </c>
      <c r="C5" t="s" s="58">
        <f>'General'!B9</f>
        <v>74</v>
      </c>
      <c r="D5" s="59">
        <f>IF(ISBLANK(C5),"",VLOOKUP(C5,'General'!$B$9:$C$10,2,FALSE))</f>
        <v>2241</v>
      </c>
      <c r="E5" t="s" s="58">
        <f>IF(ISBLANK(C5),"",VLOOKUP(C5,'General'!$B$9:$E$10,3,FALSE))</f>
        <v>142</v>
      </c>
      <c r="F5" s="59">
        <f>ROUND(IF(ISBLANK(C5),"",SUMIF('Inventory'!$L1:$L78,$C5,'Inventory'!$K1:$K78)),2)</f>
        <v>2025.03</v>
      </c>
      <c r="G5" s="59">
        <v>0</v>
      </c>
      <c r="H5" s="59">
        <f>IF(ISBLANK(C5),"",VLOOKUP(C5,'General'!$B$9:$E$10,4,FALSE))</f>
        <v>0</v>
      </c>
      <c r="I5" s="60">
        <f>IF(ISBLANK(C5),"",H5*G5)</f>
        <v>0</v>
      </c>
      <c r="J5" s="7"/>
    </row>
    <row r="6" ht="15" customHeight="1">
      <c r="A6" s="4"/>
      <c r="B6" t="s" s="58">
        <f>IF(ISBLANK(C6),"",'General'!$B$7)</f>
        <v>150</v>
      </c>
      <c r="C6" t="s" s="58">
        <f>'General'!B10</f>
        <v>89</v>
      </c>
      <c r="D6" s="59">
        <f>IF(ISBLANK(C6),"",VLOOKUP(C6,'General'!$B$9:$C$10,2,FALSE))</f>
        <v>2230</v>
      </c>
      <c r="E6" t="s" s="58">
        <f>IF(ISBLANK(C6),"",VLOOKUP(C6,'General'!$B$9:$E$10,3,FALSE))</f>
        <v>142</v>
      </c>
      <c r="F6" s="59">
        <f>ROUND(IF(ISBLANK(C6),"",SUMIF('Inventory'!$L1:$L78,$C6,'Inventory'!$K1:$K78)),2)</f>
        <v>6453.84</v>
      </c>
      <c r="G6" s="59">
        <v>0</v>
      </c>
      <c r="H6" s="59">
        <f>IF(ISBLANK(C6),"",VLOOKUP(C6,'General'!$B$9:$E$10,4,FALSE))</f>
        <v>0</v>
      </c>
      <c r="I6" s="60">
        <f>IF(ISBLANK(C6),"",H6*G6)</f>
        <v>0</v>
      </c>
      <c r="J6" s="7"/>
    </row>
    <row r="7" ht="15" customHeight="1">
      <c r="A7" s="2"/>
      <c r="B7" s="16"/>
      <c r="C7" s="16"/>
      <c r="D7" s="16"/>
      <c r="E7" s="16"/>
      <c r="F7" s="16"/>
      <c r="G7" s="16"/>
      <c r="H7" s="16"/>
      <c r="I7" s="16"/>
      <c r="J7" s="2"/>
    </row>
    <row r="8" ht="1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73" customWidth="1"/>
    <col min="2" max="2" width="14.5" style="73" customWidth="1"/>
    <col min="3" max="3" width="26.5" style="73" customWidth="1"/>
    <col min="4" max="5" width="14.5" style="73" customWidth="1"/>
    <col min="6" max="6" width="17.8516" style="73" customWidth="1"/>
    <col min="7" max="9" width="14.5" style="73" customWidth="1"/>
    <col min="10" max="10" width="28.3516" style="73" customWidth="1"/>
    <col min="11" max="16384" width="14.5" style="73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74"/>
      <c r="B3" s="3"/>
      <c r="C3" s="3"/>
      <c r="D3" s="3"/>
      <c r="E3" s="3"/>
      <c r="F3" s="3"/>
      <c r="G3" s="3"/>
      <c r="H3" s="3"/>
      <c r="I3" s="3"/>
      <c r="J3" s="2"/>
    </row>
    <row r="4" ht="36.75" customHeight="1">
      <c r="A4" s="72"/>
      <c r="B4" t="s" s="47">
        <v>146</v>
      </c>
      <c r="C4" t="s" s="47">
        <v>136</v>
      </c>
      <c r="D4" t="s" s="47">
        <v>137</v>
      </c>
      <c r="E4" t="s" s="47">
        <v>125</v>
      </c>
      <c r="F4" t="s" s="47">
        <v>157</v>
      </c>
      <c r="G4" t="s" s="47">
        <v>148</v>
      </c>
      <c r="H4" t="s" s="47">
        <v>15</v>
      </c>
      <c r="I4" t="s" s="47">
        <v>149</v>
      </c>
      <c r="J4" s="7"/>
    </row>
    <row r="5" ht="12.75" customHeight="1">
      <c r="A5" s="72"/>
      <c r="B5" t="s" s="58">
        <f>IF(ISBLANK(C5),"",'General'!$F$7)</f>
        <v>151</v>
      </c>
      <c r="C5" t="s" s="58">
        <f>'General'!F9</f>
        <v>1</v>
      </c>
      <c r="D5" s="59">
        <f>IF(ISBLANK(C5),"",VLOOKUP(C5,'General'!$F$9:$I$10,2,FALSE))</f>
        <v>1111</v>
      </c>
      <c r="E5" t="s" s="58">
        <f>IF(ISBLANK(C5),"",VLOOKUP(C5,'General'!$F$9:$I$10,3,FALSE))</f>
        <v>142</v>
      </c>
      <c r="F5" s="59">
        <f>ROUND(IF(ISBLANK(C5),"",SUMIF('Inventory'!$M1:$M78,$C5,'Inventory'!$K1:$K78)),2)</f>
        <v>7721.26</v>
      </c>
      <c r="G5" s="59">
        <v>0</v>
      </c>
      <c r="H5" s="59">
        <f>IF(ISBLANK(C5),"",VLOOKUP(C5,'General'!$F$9:$I$10,4,FALSE))</f>
        <v>0</v>
      </c>
      <c r="I5" s="60">
        <f>IF(ISBLANK(C5),"",H5*G5)</f>
        <v>0</v>
      </c>
      <c r="J5" s="7"/>
    </row>
    <row r="6" ht="15" customHeight="1">
      <c r="A6" s="4"/>
      <c r="B6" t="s" s="58">
        <f>IF(ISBLANK(C6),"",'General'!$F$7)</f>
        <v>151</v>
      </c>
      <c r="C6" t="s" s="58">
        <f>'General'!F10</f>
        <v>90</v>
      </c>
      <c r="D6" s="59">
        <f>IF(ISBLANK(C6),"",VLOOKUP(C6,'General'!$F$9:$I$10,2,FALSE))</f>
        <v>1117</v>
      </c>
      <c r="E6" t="s" s="58">
        <f>IF(ISBLANK(C6),"",VLOOKUP(C6,'General'!$F$9:$I$10,3,FALSE))</f>
        <v>142</v>
      </c>
      <c r="F6" s="59">
        <f>ROUND(IF(ISBLANK(C6),"",SUMIF('Inventory'!$M1:$M78,$C6,'Inventory'!$K1:$K78)),2)</f>
        <v>757.61</v>
      </c>
      <c r="G6" s="59">
        <v>0</v>
      </c>
      <c r="H6" s="59">
        <f>IF(ISBLANK(C6),"",VLOOKUP(C6,'General'!$F$9:$I$10,4,FALSE))</f>
        <v>0</v>
      </c>
      <c r="I6" s="60">
        <f>IF(ISBLANK(C6),"",H6*G6)</f>
        <v>0</v>
      </c>
      <c r="J6" s="7"/>
    </row>
    <row r="7" ht="15" customHeight="1">
      <c r="A7" s="2"/>
      <c r="B7" s="16"/>
      <c r="C7" s="16"/>
      <c r="D7" s="16"/>
      <c r="E7" s="16"/>
      <c r="F7" s="16"/>
      <c r="G7" s="16"/>
      <c r="H7" s="16"/>
      <c r="I7" s="16"/>
      <c r="J7" s="2"/>
    </row>
    <row r="8" ht="1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14.5" defaultRowHeight="12.75" customHeight="1" outlineLevelRow="0" outlineLevelCol="0"/>
  <cols>
    <col min="1" max="1" width="10.6719" style="75" customWidth="1"/>
    <col min="2" max="2" width="21.1719" style="75" customWidth="1"/>
    <col min="3" max="3" width="26.1719" style="75" customWidth="1"/>
    <col min="4" max="6" width="14.5" style="75" customWidth="1"/>
    <col min="7" max="7" hidden="1" width="14.5" style="75" customWidth="1"/>
    <col min="8" max="10" width="14.5" style="75" customWidth="1"/>
    <col min="11" max="16384" width="14.5" style="75" customWidth="1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8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3"/>
      <c r="C4" s="3"/>
      <c r="D4" s="3"/>
      <c r="E4" s="3"/>
      <c r="F4" s="3"/>
      <c r="G4" s="3"/>
      <c r="H4" s="3"/>
      <c r="I4" s="3"/>
      <c r="J4" s="2"/>
    </row>
    <row r="5" ht="33.75" customHeight="1">
      <c r="A5" s="4"/>
      <c r="B5" t="s" s="47">
        <v>146</v>
      </c>
      <c r="C5" t="s" s="47">
        <v>136</v>
      </c>
      <c r="D5" t="s" s="47">
        <v>137</v>
      </c>
      <c r="E5" t="s" s="47">
        <v>125</v>
      </c>
      <c r="F5" t="s" s="47">
        <v>148</v>
      </c>
      <c r="G5" s="76"/>
      <c r="H5" t="s" s="47">
        <v>15</v>
      </c>
      <c r="I5" t="s" s="47">
        <v>149</v>
      </c>
      <c r="J5" s="7"/>
    </row>
    <row r="6" ht="12.75" customHeight="1">
      <c r="A6" s="4"/>
      <c r="B6" t="s" s="58">
        <f>IF(ISBLANK(C6),"",'General'!$O$7)</f>
        <v>154</v>
      </c>
      <c r="C6" t="s" s="58">
        <f>'General'!O9</f>
        <v>134</v>
      </c>
      <c r="D6" s="59">
        <f>IF(ISBLANK(C6),"",VLOOKUP(C6,'General'!$O$9:$S$9,2,FALSE))</f>
        <v>4446</v>
      </c>
      <c r="E6" t="s" s="58">
        <f>IF(ISBLANK(C6),"",VLOOKUP(C6,'General'!$O$9:$S$9,4,FALSE))</f>
        <v>153</v>
      </c>
      <c r="F6" s="59">
        <f>ROUND(IF(ISBLANK(C6),"",'General'!$H$5*(VLOOKUP(C6,'General'!$O$9:$S$9,3,FALSE))),2)</f>
        <v>83.65000000000001</v>
      </c>
      <c r="G6" s="59">
        <v>0</v>
      </c>
      <c r="H6" s="59">
        <f>IF(ISBLANK(C6),"",VLOOKUP(C6,'General'!$O$9:$S$9,5,FALSE))</f>
        <v>0</v>
      </c>
      <c r="I6" s="59">
        <f>IF(ISBLANK(C6),"",H6*F6)</f>
        <v>0</v>
      </c>
      <c r="J6" s="7"/>
    </row>
    <row r="7" ht="12.75" customHeight="1">
      <c r="A7" s="2"/>
      <c r="B7" s="16"/>
      <c r="C7" s="16"/>
      <c r="D7" s="16"/>
      <c r="E7" s="16"/>
      <c r="F7" s="16"/>
      <c r="G7" s="16"/>
      <c r="H7" s="16"/>
      <c r="I7" s="16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.6719" style="77" customWidth="1"/>
    <col min="2" max="2" width="18.1719" style="77" customWidth="1"/>
    <col min="3" max="3" width="34.3516" style="77" customWidth="1"/>
    <col min="4" max="4" width="21.1719" style="77" customWidth="1"/>
    <col min="5" max="5" width="9.17188" style="77" customWidth="1"/>
    <col min="6" max="6" width="17.1719" style="77" customWidth="1"/>
    <col min="7" max="7" hidden="1" width="8.83333" style="77" customWidth="1"/>
    <col min="8" max="10" width="9.17188" style="77" customWidth="1"/>
    <col min="11" max="16384" width="8.85156" style="77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3"/>
      <c r="C3" s="3"/>
      <c r="D3" s="3"/>
      <c r="E3" s="3"/>
      <c r="F3" s="3"/>
      <c r="G3" s="3"/>
      <c r="H3" s="3"/>
      <c r="I3" s="3"/>
      <c r="J3" s="2"/>
    </row>
    <row r="4" ht="32.25" customHeight="1">
      <c r="A4" s="4"/>
      <c r="B4" t="s" s="47">
        <v>146</v>
      </c>
      <c r="C4" t="s" s="47">
        <v>136</v>
      </c>
      <c r="D4" t="s" s="47">
        <v>137</v>
      </c>
      <c r="E4" t="s" s="47">
        <v>125</v>
      </c>
      <c r="F4" t="s" s="47">
        <v>148</v>
      </c>
      <c r="G4" s="76"/>
      <c r="H4" t="s" s="47">
        <v>15</v>
      </c>
      <c r="I4" t="s" s="47">
        <v>149</v>
      </c>
      <c r="J4" s="7"/>
    </row>
    <row r="5" ht="12.75" customHeight="1">
      <c r="A5" s="4"/>
      <c r="B5" t="s" s="58">
        <f>IF(ISBLANK(C5),"",'General'!$T$7)</f>
        <v>155</v>
      </c>
      <c r="C5" t="s" s="58">
        <f>'General'!T9</f>
        <v>3</v>
      </c>
      <c r="D5" s="59">
        <f>IF(ISBLANK(C5),"",VLOOKUP(C5,'General'!$T$9:$X$10,2,FALSE))</f>
        <v>5558</v>
      </c>
      <c r="E5" t="s" s="58">
        <f>IF(ISBLANK(C5),"",VLOOKUP(C5,'General'!$T$9:$X$10,3,FALSE))</f>
        <v>156</v>
      </c>
      <c r="F5" s="59">
        <f>IF(ISBLANK(C5),"",VLOOKUP(C5,'General'!$T$9:$X$10,4,FALSE))</f>
        <v>13</v>
      </c>
      <c r="G5" s="59">
        <v>0</v>
      </c>
      <c r="H5" s="59">
        <f>IF(ISBLANK(C5),"",VLOOKUP(C5,'General'!$T$9:$X$10,5,FALSE))</f>
        <v>0</v>
      </c>
      <c r="I5" s="60">
        <f>IF(ISBLANK(C5),"",H5*F5)</f>
        <v>0</v>
      </c>
      <c r="J5" s="7"/>
    </row>
    <row r="6" ht="12.75" customHeight="1">
      <c r="A6" s="4"/>
      <c r="B6" t="s" s="58">
        <f>IF(ISBLANK(C6),"",'General'!$T$7)</f>
        <v>155</v>
      </c>
      <c r="C6" t="s" s="58">
        <f>'General'!T10</f>
        <v>144</v>
      </c>
      <c r="D6" s="59">
        <f>IF(ISBLANK(C6),"",VLOOKUP(C6,'General'!$T$9:$X$10,2,FALSE))</f>
        <v>5559</v>
      </c>
      <c r="E6" t="s" s="58">
        <f>IF(ISBLANK(C6),"",VLOOKUP(C6,'General'!$T$9:$X$10,3,FALSE))</f>
        <v>156</v>
      </c>
      <c r="F6" s="59">
        <f>IF(ISBLANK(C6),"",VLOOKUP(C6,'General'!$T$9:$X$10,4,FALSE))</f>
        <v>3</v>
      </c>
      <c r="G6" s="59">
        <v>0</v>
      </c>
      <c r="H6" s="59">
        <f>IF(ISBLANK(C6),"",VLOOKUP(C6,'General'!$T$9:$X$10,5,FALSE))</f>
        <v>0</v>
      </c>
      <c r="I6" s="60">
        <f>IF(ISBLANK(C6),"",H6*F6)</f>
        <v>0</v>
      </c>
      <c r="J6" s="7"/>
    </row>
    <row r="7" ht="12.75" customHeight="1">
      <c r="A7" s="2"/>
      <c r="B7" s="16"/>
      <c r="C7" s="16"/>
      <c r="D7" s="16"/>
      <c r="E7" s="16"/>
      <c r="F7" s="16"/>
      <c r="G7" s="16"/>
      <c r="H7" s="16"/>
      <c r="I7" s="16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14.5" defaultRowHeight="15" customHeight="1" outlineLevelRow="0" outlineLevelCol="0"/>
  <cols>
    <col min="1" max="1" width="10.6719" style="78" customWidth="1"/>
    <col min="2" max="2" width="19.6719" style="78" customWidth="1"/>
    <col min="3" max="3" width="36.1719" style="78" customWidth="1"/>
    <col min="4" max="5" width="14.5" style="78" customWidth="1"/>
    <col min="6" max="6" width="18.3516" style="78" customWidth="1"/>
    <col min="7" max="7" hidden="1" width="14.5" style="78" customWidth="1"/>
    <col min="8" max="9" width="14.5" style="78" customWidth="1"/>
    <col min="10" max="10" width="4.5" style="78" customWidth="1"/>
    <col min="11" max="16384" width="14.5" style="78" customWidth="1"/>
  </cols>
  <sheetData>
    <row r="1" ht="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3"/>
      <c r="C3" s="3"/>
      <c r="D3" s="3"/>
      <c r="E3" s="3"/>
      <c r="F3" s="3"/>
      <c r="G3" s="3"/>
      <c r="H3" s="3"/>
      <c r="I3" s="3"/>
      <c r="J3" s="2"/>
    </row>
    <row r="4" ht="32.25" customHeight="1">
      <c r="A4" s="4"/>
      <c r="B4" t="s" s="47">
        <v>146</v>
      </c>
      <c r="C4" t="s" s="47">
        <v>136</v>
      </c>
      <c r="D4" t="s" s="47">
        <v>137</v>
      </c>
      <c r="E4" t="s" s="47">
        <v>125</v>
      </c>
      <c r="F4" t="s" s="47">
        <v>148</v>
      </c>
      <c r="G4" s="76"/>
      <c r="H4" t="s" s="47">
        <v>15</v>
      </c>
      <c r="I4" t="s" s="47">
        <v>149</v>
      </c>
      <c r="J4" s="7"/>
    </row>
    <row r="5" ht="12.75" customHeight="1">
      <c r="A5" s="4"/>
      <c r="B5" t="s" s="58">
        <f>IF(ISBLANK(C5),"",'General'!$J$7)</f>
        <v>152</v>
      </c>
      <c r="C5" t="s" s="58">
        <f>'General'!J9</f>
        <v>1</v>
      </c>
      <c r="D5" s="59">
        <f>IF(ISBLANK(C5),"",VLOOKUP(C5,'General'!$J$9:$N$12,2,FALSE))</f>
        <v>4446</v>
      </c>
      <c r="E5" t="s" s="58">
        <f>IF(ISBLANK(C5),"",VLOOKUP(C5,'General'!$J$9:$N$12,4,FALSE))</f>
        <v>153</v>
      </c>
      <c r="F5" s="59">
        <f>ROUND(IF(ISBLANK(C5),"",'General'!$D$5*(VLOOKUP(C5,'General'!$J$9:$N$12,3,FALSE))),2)</f>
        <v>315.09</v>
      </c>
      <c r="G5" s="59">
        <v>0</v>
      </c>
      <c r="H5" s="59">
        <f>IF(ISBLANK(C5),"",VLOOKUP(C5,'General'!$J$9:$N$12,5,FALSE))</f>
        <v>0</v>
      </c>
      <c r="I5" s="59">
        <f>IF(ISBLANK(C5),"",H5*F5)</f>
        <v>0</v>
      </c>
      <c r="J5" s="7"/>
    </row>
    <row r="6" ht="15" customHeight="1">
      <c r="A6" s="4"/>
      <c r="B6" t="s" s="58">
        <f>IF(ISBLANK(C6),"",'General'!$J$7)</f>
        <v>152</v>
      </c>
      <c r="C6" t="s" s="58">
        <f>'General'!J10</f>
        <v>6</v>
      </c>
      <c r="D6" s="59">
        <f>IF(ISBLANK(C6),"",VLOOKUP(C6,'General'!$J$9:$N$12,2,FALSE))</f>
        <v>4446</v>
      </c>
      <c r="E6" t="s" s="58">
        <f>IF(ISBLANK(C6),"",VLOOKUP(C6,'General'!$J$9:$N$12,4,FALSE))</f>
        <v>153</v>
      </c>
      <c r="F6" s="59">
        <f>ROUND(IF(ISBLANK(C6),"",'General'!$D$5*(VLOOKUP(C6,'General'!$J$9:$N$12,3,FALSE))),2)</f>
        <v>18.03</v>
      </c>
      <c r="G6" s="59">
        <v>0</v>
      </c>
      <c r="H6" s="59">
        <f>IF(ISBLANK(C6),"",VLOOKUP(C6,'General'!$J$9:$N$12,5,FALSE))</f>
        <v>0</v>
      </c>
      <c r="I6" s="59">
        <f>IF(ISBLANK(C6),"",H6*F6)</f>
        <v>0</v>
      </c>
      <c r="J6" s="7"/>
    </row>
    <row r="7" ht="15" customHeight="1">
      <c r="A7" s="4"/>
      <c r="B7" t="s" s="58">
        <f>IF(ISBLANK(C7),"",'General'!$J$7)</f>
        <v>152</v>
      </c>
      <c r="C7" t="s" s="58">
        <f>'General'!J11</f>
        <v>5</v>
      </c>
      <c r="D7" s="59">
        <f>IF(ISBLANK(C7),"",VLOOKUP(C7,'General'!$J$9:$N$12,2,FALSE))</f>
        <v>4446</v>
      </c>
      <c r="E7" t="s" s="58">
        <f>IF(ISBLANK(C7),"",VLOOKUP(C7,'General'!$J$9:$N$12,4,FALSE))</f>
        <v>153</v>
      </c>
      <c r="F7" s="59">
        <f>ROUND(IF(ISBLANK(C7),"",'General'!$D$5*(VLOOKUP(C7,'General'!$J$9:$N$12,3,FALSE))),2)</f>
        <v>376.41</v>
      </c>
      <c r="G7" s="59">
        <v>0</v>
      </c>
      <c r="H7" s="59">
        <f>IF(ISBLANK(C7),"",VLOOKUP(C7,'General'!$J$9:$N$12,5,FALSE))</f>
        <v>0</v>
      </c>
      <c r="I7" s="59">
        <f>IF(ISBLANK(C7),"",H7*F7)</f>
        <v>0</v>
      </c>
      <c r="J7" s="7"/>
    </row>
    <row r="8" ht="15" customHeight="1">
      <c r="A8" s="4"/>
      <c r="B8" t="s" s="58">
        <f>IF(ISBLANK(C8),"",'General'!$J$7)</f>
        <v>152</v>
      </c>
      <c r="C8" t="s" s="58">
        <f>'General'!J12</f>
        <v>145</v>
      </c>
      <c r="D8" s="59">
        <f>IF(ISBLANK(C8),"",VLOOKUP(C8,'General'!$J$9:$N$12,2,FALSE))</f>
        <v>4446</v>
      </c>
      <c r="E8" t="s" s="58">
        <f>IF(ISBLANK(C8),"",VLOOKUP(C8,'General'!$J$9:$N$12,4,FALSE))</f>
        <v>153</v>
      </c>
      <c r="F8" s="59">
        <f>ROUND(IF(ISBLANK(C8),"",'General'!$D$5*(VLOOKUP(C8,'General'!$J$9:$N$12,3,FALSE))),2)</f>
        <v>139.01</v>
      </c>
      <c r="G8" s="59">
        <v>0</v>
      </c>
      <c r="H8" s="59">
        <f>IF(ISBLANK(C8),"",VLOOKUP(C8,'General'!$J$9:$N$12,5,FALSE))</f>
        <v>0</v>
      </c>
      <c r="I8" s="59">
        <f>IF(ISBLANK(C8),"",H8*F8)</f>
        <v>0</v>
      </c>
      <c r="J8" s="7"/>
    </row>
    <row r="9" ht="15" customHeight="1">
      <c r="A9" s="2"/>
      <c r="B9" s="16"/>
      <c r="C9" s="16"/>
      <c r="D9" s="16"/>
      <c r="E9" s="16"/>
      <c r="F9" s="16"/>
      <c r="G9" s="16"/>
      <c r="H9" s="16"/>
      <c r="I9" s="16"/>
      <c r="J9" s="2"/>
    </row>
    <row r="10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F100"/>
  <sheetViews>
    <sheetView workbookViewId="0" showGridLines="0" defaultGridColor="1"/>
  </sheetViews>
  <sheetFormatPr defaultColWidth="8.83333" defaultRowHeight="15" customHeight="1" outlineLevelRow="0" outlineLevelCol="0"/>
  <cols>
    <col min="1" max="1" width="19.5" style="79" customWidth="1"/>
    <col min="2" max="2" width="22.5" style="79" customWidth="1"/>
    <col min="3" max="3" width="20.8516" style="79" customWidth="1"/>
    <col min="4" max="4" width="22.8516" style="79" customWidth="1"/>
    <col min="5" max="5" width="27.5" style="79" customWidth="1"/>
    <col min="6" max="6" width="8.85156" style="79" customWidth="1"/>
    <col min="7" max="16384" width="8.85156" style="79" customWidth="1"/>
  </cols>
  <sheetData>
    <row r="1" ht="17" customHeight="1">
      <c r="A1" t="s" s="80">
        <v>146</v>
      </c>
      <c r="B1" t="s" s="80">
        <v>158</v>
      </c>
      <c r="C1" t="s" s="80">
        <v>159</v>
      </c>
      <c r="D1" t="s" s="80">
        <v>160</v>
      </c>
      <c r="E1" t="s" s="80">
        <v>161</v>
      </c>
      <c r="F1" t="s" s="80">
        <v>162</v>
      </c>
    </row>
    <row r="2" ht="17" customHeight="1">
      <c r="A2" t="s" s="80">
        <v>131</v>
      </c>
      <c r="B2" t="s" s="80">
        <v>163</v>
      </c>
      <c r="C2" t="s" s="80">
        <v>164</v>
      </c>
      <c r="D2" t="s" s="80">
        <v>165</v>
      </c>
      <c r="E2" t="s" s="80">
        <v>143</v>
      </c>
      <c r="F2" t="s" s="80">
        <v>163</v>
      </c>
    </row>
    <row r="3" ht="17" customHeight="1">
      <c r="A3" t="s" s="80">
        <v>132</v>
      </c>
      <c r="B3" t="s" s="80">
        <v>130</v>
      </c>
      <c r="C3" t="s" s="80">
        <v>142</v>
      </c>
      <c r="D3" t="s" s="80">
        <v>166</v>
      </c>
      <c r="E3" s="81"/>
      <c r="F3" t="s" s="80">
        <v>130</v>
      </c>
    </row>
    <row r="4" ht="17" customHeight="1">
      <c r="A4" t="s" s="80">
        <v>133</v>
      </c>
      <c r="B4" t="s" s="80">
        <v>167</v>
      </c>
      <c r="C4" t="s" s="80">
        <v>168</v>
      </c>
      <c r="D4" t="s" s="80">
        <v>169</v>
      </c>
      <c r="E4" s="81"/>
      <c r="F4" t="s" s="80">
        <v>170</v>
      </c>
    </row>
    <row r="5" ht="17" customHeight="1">
      <c r="A5" t="s" s="80">
        <v>135</v>
      </c>
      <c r="B5" t="s" s="80">
        <v>171</v>
      </c>
      <c r="C5" t="s" s="80">
        <v>172</v>
      </c>
      <c r="D5" t="s" s="80">
        <v>173</v>
      </c>
      <c r="E5" s="81"/>
      <c r="F5" t="s" s="80">
        <v>171</v>
      </c>
    </row>
    <row r="6" ht="13.55" customHeight="1">
      <c r="A6" s="82"/>
      <c r="B6" s="82"/>
      <c r="C6" s="82"/>
      <c r="D6" s="82"/>
      <c r="E6" s="82"/>
      <c r="F6" s="82"/>
    </row>
    <row r="7" ht="13.55" customHeight="1">
      <c r="A7" s="82"/>
      <c r="B7" s="82"/>
      <c r="C7" s="82"/>
      <c r="D7" s="82"/>
      <c r="E7" s="82"/>
      <c r="F7" s="82"/>
    </row>
    <row r="8" ht="13.55" customHeight="1">
      <c r="A8" s="82"/>
      <c r="B8" s="82"/>
      <c r="C8" s="82"/>
      <c r="D8" s="82"/>
      <c r="E8" s="82"/>
      <c r="F8" s="82"/>
    </row>
    <row r="9" ht="13.55" customHeight="1">
      <c r="A9" s="82"/>
      <c r="B9" s="82"/>
      <c r="C9" s="82"/>
      <c r="D9" s="82"/>
      <c r="E9" s="82"/>
      <c r="F9" s="82"/>
    </row>
    <row r="10" ht="13.55" customHeight="1">
      <c r="A10" s="82"/>
      <c r="B10" s="82"/>
      <c r="C10" s="82"/>
      <c r="D10" s="82"/>
      <c r="E10" s="82"/>
      <c r="F10" s="82"/>
    </row>
    <row r="11" ht="13.55" customHeight="1">
      <c r="A11" s="82"/>
      <c r="B11" s="82"/>
      <c r="C11" s="82"/>
      <c r="D11" s="82"/>
      <c r="E11" s="82"/>
      <c r="F11" s="82"/>
    </row>
    <row r="12" ht="13.55" customHeight="1">
      <c r="A12" s="82"/>
      <c r="B12" s="82"/>
      <c r="C12" s="82"/>
      <c r="D12" s="82"/>
      <c r="E12" s="82"/>
      <c r="F12" s="82"/>
    </row>
    <row r="13" ht="13.55" customHeight="1">
      <c r="A13" s="82"/>
      <c r="B13" s="82"/>
      <c r="C13" s="82"/>
      <c r="D13" s="82"/>
      <c r="E13" s="82"/>
      <c r="F13" s="82"/>
    </row>
    <row r="14" ht="13.55" customHeight="1">
      <c r="A14" s="82"/>
      <c r="B14" s="82"/>
      <c r="C14" s="82"/>
      <c r="D14" s="82"/>
      <c r="E14" s="82"/>
      <c r="F14" s="82"/>
    </row>
    <row r="15" ht="13.55" customHeight="1">
      <c r="A15" s="82"/>
      <c r="B15" s="82"/>
      <c r="C15" s="82"/>
      <c r="D15" s="82"/>
      <c r="E15" s="82"/>
      <c r="F15" s="82"/>
    </row>
    <row r="16" ht="13.55" customHeight="1">
      <c r="A16" s="82"/>
      <c r="B16" s="82"/>
      <c r="C16" s="82"/>
      <c r="D16" s="82"/>
      <c r="E16" s="82"/>
      <c r="F16" s="82"/>
    </row>
    <row r="17" ht="13.55" customHeight="1">
      <c r="A17" s="82"/>
      <c r="B17" s="82"/>
      <c r="C17" s="82"/>
      <c r="D17" s="82"/>
      <c r="E17" s="82"/>
      <c r="F17" s="82"/>
    </row>
    <row r="18" ht="13.55" customHeight="1">
      <c r="A18" s="82"/>
      <c r="B18" s="82"/>
      <c r="C18" s="82"/>
      <c r="D18" s="82"/>
      <c r="E18" s="82"/>
      <c r="F18" s="82"/>
    </row>
    <row r="19" ht="13.55" customHeight="1">
      <c r="A19" s="82"/>
      <c r="B19" s="82"/>
      <c r="C19" s="82"/>
      <c r="D19" s="82"/>
      <c r="E19" s="82"/>
      <c r="F19" s="82"/>
    </row>
    <row r="20" ht="13.55" customHeight="1">
      <c r="A20" s="82"/>
      <c r="B20" s="82"/>
      <c r="C20" s="82"/>
      <c r="D20" s="82"/>
      <c r="E20" s="82"/>
      <c r="F20" s="82"/>
    </row>
    <row r="21" ht="13.55" customHeight="1">
      <c r="A21" s="82"/>
      <c r="B21" s="82"/>
      <c r="C21" s="82"/>
      <c r="D21" s="82"/>
      <c r="E21" s="82"/>
      <c r="F21" s="82"/>
    </row>
    <row r="22" ht="13.55" customHeight="1">
      <c r="A22" s="82"/>
      <c r="B22" s="82"/>
      <c r="C22" s="82"/>
      <c r="D22" s="82"/>
      <c r="E22" s="82"/>
      <c r="F22" s="82"/>
    </row>
    <row r="23" ht="13.55" customHeight="1">
      <c r="A23" s="82"/>
      <c r="B23" s="82"/>
      <c r="C23" s="82"/>
      <c r="D23" s="82"/>
      <c r="E23" s="82"/>
      <c r="F23" s="82"/>
    </row>
    <row r="24" ht="13.55" customHeight="1">
      <c r="A24" s="82"/>
      <c r="B24" s="82"/>
      <c r="C24" s="82"/>
      <c r="D24" s="82"/>
      <c r="E24" s="82"/>
      <c r="F24" s="82"/>
    </row>
    <row r="25" ht="13.55" customHeight="1">
      <c r="A25" s="82"/>
      <c r="B25" s="82"/>
      <c r="C25" s="82"/>
      <c r="D25" s="82"/>
      <c r="E25" s="82"/>
      <c r="F25" s="82"/>
    </row>
    <row r="26" ht="13.55" customHeight="1">
      <c r="A26" s="82"/>
      <c r="B26" s="82"/>
      <c r="C26" s="82"/>
      <c r="D26" s="82"/>
      <c r="E26" s="82"/>
      <c r="F26" s="82"/>
    </row>
    <row r="27" ht="13.55" customHeight="1">
      <c r="A27" s="82"/>
      <c r="B27" s="82"/>
      <c r="C27" s="82"/>
      <c r="D27" s="82"/>
      <c r="E27" s="82"/>
      <c r="F27" s="82"/>
    </row>
    <row r="28" ht="13.55" customHeight="1">
      <c r="A28" s="82"/>
      <c r="B28" s="82"/>
      <c r="C28" s="82"/>
      <c r="D28" s="82"/>
      <c r="E28" s="82"/>
      <c r="F28" s="82"/>
    </row>
    <row r="29" ht="13.55" customHeight="1">
      <c r="A29" s="82"/>
      <c r="B29" s="82"/>
      <c r="C29" s="82"/>
      <c r="D29" s="82"/>
      <c r="E29" s="82"/>
      <c r="F29" s="82"/>
    </row>
    <row r="30" ht="13.55" customHeight="1">
      <c r="A30" s="82"/>
      <c r="B30" s="82"/>
      <c r="C30" s="82"/>
      <c r="D30" s="82"/>
      <c r="E30" s="82"/>
      <c r="F30" s="82"/>
    </row>
    <row r="31" ht="13.55" customHeight="1">
      <c r="A31" s="82"/>
      <c r="B31" s="82"/>
      <c r="C31" s="82"/>
      <c r="D31" s="82"/>
      <c r="E31" s="82"/>
      <c r="F31" s="82"/>
    </row>
    <row r="32" ht="13.55" customHeight="1">
      <c r="A32" s="82"/>
      <c r="B32" s="82"/>
      <c r="C32" s="82"/>
      <c r="D32" s="82"/>
      <c r="E32" s="82"/>
      <c r="F32" s="82"/>
    </row>
    <row r="33" ht="13.55" customHeight="1">
      <c r="A33" s="82"/>
      <c r="B33" s="82"/>
      <c r="C33" s="82"/>
      <c r="D33" s="82"/>
      <c r="E33" s="82"/>
      <c r="F33" s="82"/>
    </row>
    <row r="34" ht="13.55" customHeight="1">
      <c r="A34" s="82"/>
      <c r="B34" s="82"/>
      <c r="C34" s="82"/>
      <c r="D34" s="82"/>
      <c r="E34" s="82"/>
      <c r="F34" s="82"/>
    </row>
    <row r="35" ht="13.55" customHeight="1">
      <c r="A35" s="82"/>
      <c r="B35" s="82"/>
      <c r="C35" s="82"/>
      <c r="D35" s="82"/>
      <c r="E35" s="82"/>
      <c r="F35" s="82"/>
    </row>
    <row r="36" ht="13.55" customHeight="1">
      <c r="A36" s="82"/>
      <c r="B36" s="82"/>
      <c r="C36" s="82"/>
      <c r="D36" s="82"/>
      <c r="E36" s="82"/>
      <c r="F36" s="82"/>
    </row>
    <row r="37" ht="13.55" customHeight="1">
      <c r="A37" s="82"/>
      <c r="B37" s="82"/>
      <c r="C37" s="82"/>
      <c r="D37" s="82"/>
      <c r="E37" s="82"/>
      <c r="F37" s="82"/>
    </row>
    <row r="38" ht="13.55" customHeight="1">
      <c r="A38" s="82"/>
      <c r="B38" s="82"/>
      <c r="C38" s="82"/>
      <c r="D38" s="82"/>
      <c r="E38" s="82"/>
      <c r="F38" s="82"/>
    </row>
    <row r="39" ht="13.55" customHeight="1">
      <c r="A39" s="82"/>
      <c r="B39" s="82"/>
      <c r="C39" s="82"/>
      <c r="D39" s="82"/>
      <c r="E39" s="82"/>
      <c r="F39" s="82"/>
    </row>
    <row r="40" ht="13.55" customHeight="1">
      <c r="A40" s="82"/>
      <c r="B40" s="82"/>
      <c r="C40" s="82"/>
      <c r="D40" s="82"/>
      <c r="E40" s="82"/>
      <c r="F40" s="82"/>
    </row>
    <row r="41" ht="13.55" customHeight="1">
      <c r="A41" s="82"/>
      <c r="B41" s="82"/>
      <c r="C41" s="82"/>
      <c r="D41" s="82"/>
      <c r="E41" s="82"/>
      <c r="F41" s="82"/>
    </row>
    <row r="42" ht="13.55" customHeight="1">
      <c r="A42" s="82"/>
      <c r="B42" s="82"/>
      <c r="C42" s="82"/>
      <c r="D42" s="82"/>
      <c r="E42" s="82"/>
      <c r="F42" s="82"/>
    </row>
    <row r="43" ht="13.55" customHeight="1">
      <c r="A43" s="82"/>
      <c r="B43" s="82"/>
      <c r="C43" s="82"/>
      <c r="D43" s="82"/>
      <c r="E43" s="82"/>
      <c r="F43" s="82"/>
    </row>
    <row r="44" ht="13.55" customHeight="1">
      <c r="A44" s="82"/>
      <c r="B44" s="82"/>
      <c r="C44" s="82"/>
      <c r="D44" s="82"/>
      <c r="E44" s="82"/>
      <c r="F44" s="82"/>
    </row>
    <row r="45" ht="13.55" customHeight="1">
      <c r="A45" s="82"/>
      <c r="B45" s="82"/>
      <c r="C45" s="82"/>
      <c r="D45" s="82"/>
      <c r="E45" s="82"/>
      <c r="F45" s="82"/>
    </row>
    <row r="46" ht="13.55" customHeight="1">
      <c r="A46" s="82"/>
      <c r="B46" s="82"/>
      <c r="C46" s="82"/>
      <c r="D46" s="82"/>
      <c r="E46" s="82"/>
      <c r="F46" s="82"/>
    </row>
    <row r="47" ht="13.55" customHeight="1">
      <c r="A47" s="82"/>
      <c r="B47" s="82"/>
      <c r="C47" s="82"/>
      <c r="D47" s="82"/>
      <c r="E47" s="82"/>
      <c r="F47" s="82"/>
    </row>
    <row r="48" ht="13.55" customHeight="1">
      <c r="A48" s="82"/>
      <c r="B48" s="82"/>
      <c r="C48" s="82"/>
      <c r="D48" s="82"/>
      <c r="E48" s="82"/>
      <c r="F48" s="82"/>
    </row>
    <row r="49" ht="13.55" customHeight="1">
      <c r="A49" s="82"/>
      <c r="B49" s="82"/>
      <c r="C49" s="82"/>
      <c r="D49" s="82"/>
      <c r="E49" s="82"/>
      <c r="F49" s="82"/>
    </row>
    <row r="50" ht="13.55" customHeight="1">
      <c r="A50" s="82"/>
      <c r="B50" s="82"/>
      <c r="C50" s="82"/>
      <c r="D50" s="82"/>
      <c r="E50" s="82"/>
      <c r="F50" s="82"/>
    </row>
    <row r="51" ht="13.55" customHeight="1">
      <c r="A51" s="82"/>
      <c r="B51" s="82"/>
      <c r="C51" s="82"/>
      <c r="D51" s="82"/>
      <c r="E51" s="82"/>
      <c r="F51" s="82"/>
    </row>
    <row r="52" ht="13.55" customHeight="1">
      <c r="A52" s="82"/>
      <c r="B52" s="82"/>
      <c r="C52" s="82"/>
      <c r="D52" s="82"/>
      <c r="E52" s="82"/>
      <c r="F52" s="82"/>
    </row>
    <row r="53" ht="13.55" customHeight="1">
      <c r="A53" s="82"/>
      <c r="B53" s="82"/>
      <c r="C53" s="82"/>
      <c r="D53" s="82"/>
      <c r="E53" s="82"/>
      <c r="F53" s="82"/>
    </row>
    <row r="54" ht="13.55" customHeight="1">
      <c r="A54" s="82"/>
      <c r="B54" s="82"/>
      <c r="C54" s="82"/>
      <c r="D54" s="82"/>
      <c r="E54" s="82"/>
      <c r="F54" s="82"/>
    </row>
    <row r="55" ht="13.55" customHeight="1">
      <c r="A55" s="82"/>
      <c r="B55" s="82"/>
      <c r="C55" s="82"/>
      <c r="D55" s="82"/>
      <c r="E55" s="82"/>
      <c r="F55" s="82"/>
    </row>
    <row r="56" ht="13.55" customHeight="1">
      <c r="A56" s="82"/>
      <c r="B56" s="82"/>
      <c r="C56" s="82"/>
      <c r="D56" s="82"/>
      <c r="E56" s="82"/>
      <c r="F56" s="82"/>
    </row>
    <row r="57" ht="13.55" customHeight="1">
      <c r="A57" s="82"/>
      <c r="B57" s="82"/>
      <c r="C57" s="82"/>
      <c r="D57" s="82"/>
      <c r="E57" s="82"/>
      <c r="F57" s="82"/>
    </row>
    <row r="58" ht="13.55" customHeight="1">
      <c r="A58" s="82"/>
      <c r="B58" s="82"/>
      <c r="C58" s="82"/>
      <c r="D58" s="82"/>
      <c r="E58" s="82"/>
      <c r="F58" s="82"/>
    </row>
    <row r="59" ht="13.55" customHeight="1">
      <c r="A59" s="82"/>
      <c r="B59" s="82"/>
      <c r="C59" s="82"/>
      <c r="D59" s="82"/>
      <c r="E59" s="82"/>
      <c r="F59" s="82"/>
    </row>
    <row r="60" ht="13.55" customHeight="1">
      <c r="A60" s="82"/>
      <c r="B60" s="82"/>
      <c r="C60" s="82"/>
      <c r="D60" s="82"/>
      <c r="E60" s="82"/>
      <c r="F60" s="82"/>
    </row>
    <row r="61" ht="13.55" customHeight="1">
      <c r="A61" s="82"/>
      <c r="B61" s="82"/>
      <c r="C61" s="82"/>
      <c r="D61" s="82"/>
      <c r="E61" s="82"/>
      <c r="F61" s="82"/>
    </row>
    <row r="62" ht="13.55" customHeight="1">
      <c r="A62" s="82"/>
      <c r="B62" s="82"/>
      <c r="C62" s="82"/>
      <c r="D62" s="82"/>
      <c r="E62" s="82"/>
      <c r="F62" s="82"/>
    </row>
    <row r="63" ht="13.55" customHeight="1">
      <c r="A63" s="82"/>
      <c r="B63" s="82"/>
      <c r="C63" s="82"/>
      <c r="D63" s="82"/>
      <c r="E63" s="82"/>
      <c r="F63" s="82"/>
    </row>
    <row r="64" ht="13.55" customHeight="1">
      <c r="A64" s="82"/>
      <c r="B64" s="82"/>
      <c r="C64" s="82"/>
      <c r="D64" s="82"/>
      <c r="E64" s="82"/>
      <c r="F64" s="82"/>
    </row>
    <row r="65" ht="13.55" customHeight="1">
      <c r="A65" s="82"/>
      <c r="B65" s="82"/>
      <c r="C65" s="82"/>
      <c r="D65" s="82"/>
      <c r="E65" s="82"/>
      <c r="F65" s="82"/>
    </row>
    <row r="66" ht="13.55" customHeight="1">
      <c r="A66" s="82"/>
      <c r="B66" s="82"/>
      <c r="C66" s="82"/>
      <c r="D66" s="82"/>
      <c r="E66" s="82"/>
      <c r="F66" s="82"/>
    </row>
    <row r="67" ht="13.55" customHeight="1">
      <c r="A67" s="82"/>
      <c r="B67" s="82"/>
      <c r="C67" s="82"/>
      <c r="D67" s="82"/>
      <c r="E67" s="82"/>
      <c r="F67" s="82"/>
    </row>
    <row r="68" ht="13.55" customHeight="1">
      <c r="A68" s="82"/>
      <c r="B68" s="82"/>
      <c r="C68" s="82"/>
      <c r="D68" s="82"/>
      <c r="E68" s="82"/>
      <c r="F68" s="82"/>
    </row>
    <row r="69" ht="13.55" customHeight="1">
      <c r="A69" s="82"/>
      <c r="B69" s="82"/>
      <c r="C69" s="82"/>
      <c r="D69" s="82"/>
      <c r="E69" s="82"/>
      <c r="F69" s="82"/>
    </row>
    <row r="70" ht="13.55" customHeight="1">
      <c r="A70" s="82"/>
      <c r="B70" s="82"/>
      <c r="C70" s="82"/>
      <c r="D70" s="82"/>
      <c r="E70" s="82"/>
      <c r="F70" s="82"/>
    </row>
    <row r="71" ht="13.55" customHeight="1">
      <c r="A71" s="82"/>
      <c r="B71" s="82"/>
      <c r="C71" s="82"/>
      <c r="D71" s="82"/>
      <c r="E71" s="82"/>
      <c r="F71" s="82"/>
    </row>
    <row r="72" ht="13.55" customHeight="1">
      <c r="A72" s="82"/>
      <c r="B72" s="82"/>
      <c r="C72" s="82"/>
      <c r="D72" s="82"/>
      <c r="E72" s="82"/>
      <c r="F72" s="82"/>
    </row>
    <row r="73" ht="13.55" customHeight="1">
      <c r="A73" s="82"/>
      <c r="B73" s="82"/>
      <c r="C73" s="82"/>
      <c r="D73" s="82"/>
      <c r="E73" s="82"/>
      <c r="F73" s="82"/>
    </row>
    <row r="74" ht="13.55" customHeight="1">
      <c r="A74" s="82"/>
      <c r="B74" s="82"/>
      <c r="C74" s="82"/>
      <c r="D74" s="82"/>
      <c r="E74" s="82"/>
      <c r="F74" s="82"/>
    </row>
    <row r="75" ht="13.55" customHeight="1">
      <c r="A75" s="82"/>
      <c r="B75" s="82"/>
      <c r="C75" s="82"/>
      <c r="D75" s="82"/>
      <c r="E75" s="82"/>
      <c r="F75" s="82"/>
    </row>
    <row r="76" ht="13.55" customHeight="1">
      <c r="A76" s="82"/>
      <c r="B76" s="82"/>
      <c r="C76" s="82"/>
      <c r="D76" s="82"/>
      <c r="E76" s="82"/>
      <c r="F76" s="82"/>
    </row>
    <row r="77" ht="13.55" customHeight="1">
      <c r="A77" s="82"/>
      <c r="B77" s="82"/>
      <c r="C77" s="82"/>
      <c r="D77" s="82"/>
      <c r="E77" s="82"/>
      <c r="F77" s="82"/>
    </row>
    <row r="78" ht="13.55" customHeight="1">
      <c r="A78" s="82"/>
      <c r="B78" s="82"/>
      <c r="C78" s="82"/>
      <c r="D78" s="82"/>
      <c r="E78" s="82"/>
      <c r="F78" s="82"/>
    </row>
    <row r="79" ht="13.55" customHeight="1">
      <c r="A79" s="82"/>
      <c r="B79" s="82"/>
      <c r="C79" s="82"/>
      <c r="D79" s="82"/>
      <c r="E79" s="82"/>
      <c r="F79" s="82"/>
    </row>
    <row r="80" ht="13.55" customHeight="1">
      <c r="A80" s="82"/>
      <c r="B80" s="82"/>
      <c r="C80" s="82"/>
      <c r="D80" s="82"/>
      <c r="E80" s="82"/>
      <c r="F80" s="82"/>
    </row>
    <row r="81" ht="13.55" customHeight="1">
      <c r="A81" s="82"/>
      <c r="B81" s="82"/>
      <c r="C81" s="82"/>
      <c r="D81" s="82"/>
      <c r="E81" s="82"/>
      <c r="F81" s="82"/>
    </row>
    <row r="82" ht="13.55" customHeight="1">
      <c r="A82" s="82"/>
      <c r="B82" s="82"/>
      <c r="C82" s="82"/>
      <c r="D82" s="82"/>
      <c r="E82" s="82"/>
      <c r="F82" s="82"/>
    </row>
    <row r="83" ht="13.55" customHeight="1">
      <c r="A83" s="82"/>
      <c r="B83" s="82"/>
      <c r="C83" s="82"/>
      <c r="D83" s="82"/>
      <c r="E83" s="82"/>
      <c r="F83" s="82"/>
    </row>
    <row r="84" ht="13.55" customHeight="1">
      <c r="A84" s="82"/>
      <c r="B84" s="82"/>
      <c r="C84" s="82"/>
      <c r="D84" s="82"/>
      <c r="E84" s="82"/>
      <c r="F84" s="82"/>
    </row>
    <row r="85" ht="13.55" customHeight="1">
      <c r="A85" s="82"/>
      <c r="B85" s="82"/>
      <c r="C85" s="82"/>
      <c r="D85" s="82"/>
      <c r="E85" s="82"/>
      <c r="F85" s="82"/>
    </row>
    <row r="86" ht="13.55" customHeight="1">
      <c r="A86" s="82"/>
      <c r="B86" s="82"/>
      <c r="C86" s="82"/>
      <c r="D86" s="82"/>
      <c r="E86" s="82"/>
      <c r="F86" s="82"/>
    </row>
    <row r="87" ht="13.55" customHeight="1">
      <c r="A87" s="82"/>
      <c r="B87" s="82"/>
      <c r="C87" s="82"/>
      <c r="D87" s="82"/>
      <c r="E87" s="82"/>
      <c r="F87" s="82"/>
    </row>
    <row r="88" ht="13.55" customHeight="1">
      <c r="A88" s="82"/>
      <c r="B88" s="82"/>
      <c r="C88" s="82"/>
      <c r="D88" s="82"/>
      <c r="E88" s="82"/>
      <c r="F88" s="82"/>
    </row>
    <row r="89" ht="13.55" customHeight="1">
      <c r="A89" s="82"/>
      <c r="B89" s="82"/>
      <c r="C89" s="82"/>
      <c r="D89" s="82"/>
      <c r="E89" s="82"/>
      <c r="F89" s="82"/>
    </row>
    <row r="90" ht="13.55" customHeight="1">
      <c r="A90" s="82"/>
      <c r="B90" s="82"/>
      <c r="C90" s="82"/>
      <c r="D90" s="82"/>
      <c r="E90" s="82"/>
      <c r="F90" s="82"/>
    </row>
    <row r="91" ht="13.55" customHeight="1">
      <c r="A91" s="82"/>
      <c r="B91" s="82"/>
      <c r="C91" s="82"/>
      <c r="D91" s="82"/>
      <c r="E91" s="82"/>
      <c r="F91" s="82"/>
    </row>
    <row r="92" ht="13.55" customHeight="1">
      <c r="A92" s="82"/>
      <c r="B92" s="82"/>
      <c r="C92" s="82"/>
      <c r="D92" s="82"/>
      <c r="E92" s="82"/>
      <c r="F92" s="82"/>
    </row>
    <row r="93" ht="13.55" customHeight="1">
      <c r="A93" s="82"/>
      <c r="B93" s="82"/>
      <c r="C93" s="82"/>
      <c r="D93" s="82"/>
      <c r="E93" s="82"/>
      <c r="F93" s="82"/>
    </row>
    <row r="94" ht="13.55" customHeight="1">
      <c r="A94" s="82"/>
      <c r="B94" s="82"/>
      <c r="C94" s="82"/>
      <c r="D94" s="82"/>
      <c r="E94" s="82"/>
      <c r="F94" s="82"/>
    </row>
    <row r="95" ht="13.55" customHeight="1">
      <c r="A95" s="82"/>
      <c r="B95" s="82"/>
      <c r="C95" s="82"/>
      <c r="D95" s="82"/>
      <c r="E95" s="82"/>
      <c r="F95" s="82"/>
    </row>
    <row r="96" ht="13.55" customHeight="1">
      <c r="A96" s="82"/>
      <c r="B96" s="82"/>
      <c r="C96" s="82"/>
      <c r="D96" s="82"/>
      <c r="E96" s="82"/>
      <c r="F96" s="82"/>
    </row>
    <row r="97" ht="13.55" customHeight="1">
      <c r="A97" s="82"/>
      <c r="B97" s="82"/>
      <c r="C97" s="82"/>
      <c r="D97" s="82"/>
      <c r="E97" s="82"/>
      <c r="F97" s="82"/>
    </row>
    <row r="98" ht="13.55" customHeight="1">
      <c r="A98" s="82"/>
      <c r="B98" s="82"/>
      <c r="C98" s="82"/>
      <c r="D98" s="82"/>
      <c r="E98" s="82"/>
      <c r="F98" s="82"/>
    </row>
    <row r="99" ht="13.55" customHeight="1">
      <c r="A99" s="82"/>
      <c r="B99" s="82"/>
      <c r="C99" s="82"/>
      <c r="D99" s="82"/>
      <c r="E99" s="82"/>
      <c r="F99" s="82"/>
    </row>
    <row r="100" ht="13.55" customHeight="1">
      <c r="A100" s="82"/>
      <c r="B100" s="82"/>
      <c r="C100" s="82"/>
      <c r="D100" s="82"/>
      <c r="E100" s="82"/>
      <c r="F100" s="8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